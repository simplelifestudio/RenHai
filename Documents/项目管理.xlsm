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4" r:id="rId2"/>
    <sheet name="PersonList" sheetId="5" r:id="rId3"/>
    <sheet name="Holiday" sheetId="6" r:id="rId4"/>
    <sheet name="PersonOccupation" sheetId="7" r:id="rId5"/>
    <sheet name="MileStone" sheetId="8" r:id="rId6"/>
    <sheet name="风险管理" sheetId="9" r:id="rId7"/>
    <sheet name="TDD" sheetId="10" r:id="rId8"/>
  </sheets>
  <functionGroups/>
  <definedNames>
    <definedName name="_xlnm._FilterDatabase" localSheetId="2" hidden="1">PersonList!$A$1:$G$22</definedName>
  </definedNames>
  <calcPr calcId="124519"/>
</workbook>
</file>

<file path=xl/calcChain.xml><?xml version="1.0" encoding="utf-8"?>
<calcChain xmlns="http://schemas.openxmlformats.org/spreadsheetml/2006/main">
  <c r="D44" i="5"/>
  <c r="D43"/>
  <c r="D40"/>
  <c r="D39"/>
  <c r="D38"/>
  <c r="D37"/>
  <c r="D36"/>
  <c r="D35"/>
  <c r="D34"/>
  <c r="D33"/>
  <c r="D32"/>
  <c r="D31"/>
  <c r="D30"/>
  <c r="D29"/>
  <c r="D28"/>
  <c r="D27"/>
  <c r="D26"/>
  <c r="D25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</calcChain>
</file>

<file path=xl/comments1.xml><?xml version="1.0" encoding="utf-8"?>
<comments xmlns="http://schemas.openxmlformats.org/spreadsheetml/2006/main">
  <authors>
    <author>c</author>
  </authors>
  <commentList>
    <comment ref="K4" authorId="0">
      <text>
        <r>
          <rPr>
            <sz val="9"/>
            <color indexed="81"/>
            <rFont val="Tahoma"/>
            <family val="2"/>
          </rPr>
          <t xml:space="preserve">Patrick 50%  </t>
        </r>
      </text>
    </comment>
    <comment ref="K5" authorId="0">
      <text>
        <r>
          <rPr>
            <sz val="9"/>
            <color indexed="81"/>
            <rFont val="Tahoma"/>
            <family val="2"/>
          </rPr>
          <t xml:space="preserve">Patrick 50%  </t>
        </r>
      </text>
    </comment>
    <comment ref="O6" authorId="0">
      <text>
        <r>
          <rPr>
            <sz val="9"/>
            <color indexed="81"/>
            <rFont val="Tahoma"/>
            <family val="2"/>
          </rPr>
          <t xml:space="preserve">Tomas 100%  Chris 20%  </t>
        </r>
      </text>
    </comment>
    <comment ref="W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8" authorId="0">
      <text>
        <r>
          <rPr>
            <sz val="9"/>
            <color indexed="81"/>
            <rFont val="Tahoma"/>
            <family val="2"/>
          </rPr>
          <t xml:space="preserve">Tomas 100%  Chris 20%  </t>
        </r>
      </text>
    </comment>
    <comment ref="Y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10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D10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E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H12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J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4" authorId="0">
      <text>
        <r>
          <rPr>
            <sz val="9"/>
            <color indexed="81"/>
            <rFont val="Tahoma"/>
            <family val="2"/>
          </rPr>
          <t xml:space="preserve">Patrick 100%  Chris 20%  </t>
        </r>
      </text>
    </comment>
    <comment ref="AR14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S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V16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X1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A18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BC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F20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E21" authorId="0">
      <text>
        <r>
          <rPr>
            <sz val="9"/>
            <color indexed="81"/>
            <rFont val="Tahoma"/>
            <family val="2"/>
          </rPr>
          <t xml:space="preserve">Patrick 28%  </t>
        </r>
      </text>
    </comment>
    <comment ref="E22" authorId="0">
      <text>
        <r>
          <rPr>
            <sz val="9"/>
            <color indexed="81"/>
            <rFont val="Tahoma"/>
            <family val="2"/>
          </rPr>
          <t xml:space="preserve">Patrick 20%  </t>
        </r>
      </text>
    </comment>
    <comment ref="E25" authorId="0">
      <text>
        <r>
          <rPr>
            <sz val="9"/>
            <color indexed="81"/>
            <rFont val="Tahoma"/>
            <family val="2"/>
          </rPr>
          <t xml:space="preserve">Tomas 50%  </t>
        </r>
      </text>
    </comment>
    <comment ref="M26" authorId="0">
      <text>
        <r>
          <rPr>
            <sz val="9"/>
            <color indexed="81"/>
            <rFont val="Tahoma"/>
            <family val="2"/>
          </rPr>
          <t xml:space="preserve">Tomas 100%  Chris 20%  </t>
        </r>
      </text>
    </comment>
    <comment ref="Q2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Q28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S28" authorId="0">
      <text>
        <r>
          <rPr>
            <sz val="9"/>
            <color indexed="81"/>
            <rFont val="Tahoma"/>
            <family val="2"/>
          </rPr>
          <t xml:space="preserve">Tomas 100%  Chris 20%  </t>
        </r>
      </text>
    </comment>
    <comment ref="W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30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Y30" authorId="0">
      <text>
        <r>
          <rPr>
            <sz val="9"/>
            <color indexed="81"/>
            <rFont val="Tahoma"/>
            <family val="2"/>
          </rPr>
          <t xml:space="preserve">Tomas 100%  Chris 20%  </t>
        </r>
      </text>
    </comment>
    <comment ref="AE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E32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G32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J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J34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P34" authorId="0">
      <text>
        <r>
          <rPr>
            <sz val="9"/>
            <color indexed="81"/>
            <rFont val="Tahoma"/>
            <family val="2"/>
          </rPr>
          <t xml:space="preserve">Patrick 100%  Chris 20%  </t>
        </r>
      </text>
    </comment>
    <comment ref="AS3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S36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U36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AX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X38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AZ38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BC3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C40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BE40" authorId="0">
      <text>
        <r>
          <rPr>
            <sz val="9"/>
            <color indexed="81"/>
            <rFont val="Tahoma"/>
            <family val="2"/>
          </rPr>
          <t xml:space="preserve">Patrick 100%  Tomas 100%  Chris 20%  </t>
        </r>
      </text>
    </comment>
    <comment ref="E43" authorId="0">
      <text>
        <r>
          <rPr>
            <sz val="9"/>
            <color indexed="81"/>
            <rFont val="Tahoma"/>
            <family val="2"/>
          </rPr>
          <t xml:space="preserve">Patrick 50%  Tomas 50%  </t>
        </r>
      </text>
    </comment>
    <comment ref="AA44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45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46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sharedStrings.xml><?xml version="1.0" encoding="utf-8"?>
<sst xmlns="http://schemas.openxmlformats.org/spreadsheetml/2006/main" count="187" uniqueCount="132">
  <si>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</si>
  <si>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</si>
  <si>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</si>
  <si>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</si>
  <si>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</si>
  <si>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</si>
  <si>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</si>
  <si>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</si>
  <si>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</si>
  <si>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</si>
  <si>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</si>
  <si>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</si>
  <si>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</si>
  <si>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</si>
  <si>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</si>
  <si>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</si>
  <si>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</si>
  <si>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</si>
  <si>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</si>
  <si>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</si>
  <si>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</si>
  <si>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</si>
  <si>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</si>
  <si>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</si>
  <si>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</si>
  <si>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</si>
  <si>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</si>
  <si>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</si>
  <si>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</si>
  <si>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</si>
  <si>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t>Aug</t>
    <phoneticPr fontId="8" type="noConversion"/>
  </si>
  <si>
    <t>Sep</t>
    <phoneticPr fontId="8" type="noConversion"/>
  </si>
  <si>
    <t>Oct</t>
    <phoneticPr fontId="8" type="noConversion"/>
  </si>
  <si>
    <t>Nov</t>
    <phoneticPr fontId="8" type="noConversion"/>
  </si>
  <si>
    <t>Dec</t>
    <phoneticPr fontId="8" type="noConversion"/>
  </si>
  <si>
    <t>Jan</t>
    <phoneticPr fontId="8" type="noConversion"/>
  </si>
  <si>
    <t>Feb</t>
    <phoneticPr fontId="8" type="noConversion"/>
  </si>
  <si>
    <t>项目名称</t>
    <phoneticPr fontId="8" type="noConversion"/>
  </si>
  <si>
    <t>人海</t>
    <phoneticPr fontId="8" type="noConversion"/>
  </si>
  <si>
    <t>陈崇磐</t>
  </si>
  <si>
    <t>基本信息</t>
    <phoneticPr fontId="8" type="noConversion"/>
  </si>
  <si>
    <t>风险管理</t>
    <phoneticPr fontId="8" type="noConversion"/>
  </si>
  <si>
    <t>启动时间</t>
    <phoneticPr fontId="8" type="noConversion"/>
  </si>
  <si>
    <t>项目成员</t>
    <phoneticPr fontId="8" type="noConversion"/>
  </si>
  <si>
    <t>序号</t>
    <phoneticPr fontId="8" type="noConversion"/>
  </si>
  <si>
    <t>风险描述</t>
    <phoneticPr fontId="8" type="noConversion"/>
  </si>
  <si>
    <t>发生概率</t>
    <phoneticPr fontId="8" type="noConversion"/>
  </si>
  <si>
    <t>应对计划</t>
    <phoneticPr fontId="8" type="noConversion"/>
  </si>
  <si>
    <t>责任人</t>
    <phoneticPr fontId="8" type="noConversion"/>
  </si>
  <si>
    <t>风险状态</t>
    <phoneticPr fontId="8" type="noConversion"/>
  </si>
  <si>
    <t>影响程度</t>
    <phoneticPr fontId="8" type="noConversion"/>
  </si>
  <si>
    <t>邓柯、陈崇磐、李诚</t>
    <phoneticPr fontId="8" type="noConversion"/>
  </si>
  <si>
    <t>Java技能不足，尤其是多线程部分掌握不够，导致Server不能达到设计的性能容量</t>
    <phoneticPr fontId="8" type="noConversion"/>
  </si>
  <si>
    <t>中</t>
  </si>
  <si>
    <t>大</t>
  </si>
  <si>
    <t>加强设计的评审，不冒然开始编码</t>
    <phoneticPr fontId="8" type="noConversion"/>
  </si>
  <si>
    <t>未发生</t>
  </si>
  <si>
    <t>高</t>
  </si>
  <si>
    <t>邓柯</t>
  </si>
  <si>
    <t>低</t>
  </si>
  <si>
    <t>极大</t>
  </si>
  <si>
    <t xml:space="preserve">项目风险管理表 </t>
    <phoneticPr fontId="8" type="noConversion"/>
  </si>
  <si>
    <t>-</t>
    <phoneticPr fontId="8" type="noConversion"/>
  </si>
  <si>
    <t>由需求来决定测试集</t>
    <phoneticPr fontId="8" type="noConversion"/>
  </si>
  <si>
    <t>由测试来决定代码</t>
    <phoneticPr fontId="8" type="noConversion"/>
  </si>
  <si>
    <t>VPS带宽不能满足要求</t>
    <phoneticPr fontId="8" type="noConversion"/>
  </si>
  <si>
    <t>选择VPS之前，慎重考虑，多家比较</t>
    <phoneticPr fontId="8" type="noConversion"/>
  </si>
  <si>
    <t>由于不可抗力因素，团队完整性受到破坏</t>
    <phoneticPr fontId="8" type="noConversion"/>
  </si>
  <si>
    <t>尽力确保6个月的稳定期</t>
    <phoneticPr fontId="8" type="noConversion"/>
  </si>
  <si>
    <t>李诚下半年的时间投入不可控</t>
    <phoneticPr fontId="8" type="noConversion"/>
  </si>
  <si>
    <t>尽量让李诚负责零散的任务</t>
    <phoneticPr fontId="8" type="noConversion"/>
  </si>
  <si>
    <t>AppStore不允许随机视频聊天的App</t>
    <phoneticPr fontId="8" type="noConversion"/>
  </si>
  <si>
    <t>尝试使用开发者账号上载一个App</t>
    <phoneticPr fontId="8" type="noConversion"/>
  </si>
  <si>
    <t>多线程测试或者性能测试的技术方案还不清楚</t>
    <phoneticPr fontId="8" type="noConversion"/>
  </si>
  <si>
    <t>技术储备</t>
    <phoneticPr fontId="8" type="noConversion"/>
  </si>
  <si>
    <t>App端原型</t>
  </si>
  <si>
    <r>
      <t>App</t>
    </r>
    <r>
      <rPr>
        <sz val="9"/>
        <rFont val="宋体"/>
        <family val="3"/>
        <charset val="134"/>
      </rPr>
      <t>端原型</t>
    </r>
  </si>
  <si>
    <t>App store上架流程</t>
  </si>
  <si>
    <t>设备唯一识别ID方案确定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</si>
  <si>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</si>
  <si>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</si>
  <si>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</si>
  <si>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t>WebRTC检测方案确定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</si>
  <si>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</si>
  <si>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r>
      <t>App store</t>
    </r>
    <r>
      <rPr>
        <sz val="9"/>
        <color theme="1"/>
        <rFont val="宋体"/>
        <family val="2"/>
        <charset val="134"/>
      </rPr>
      <t>上架流程</t>
    </r>
  </si>
  <si>
    <r>
      <rPr>
        <sz val="9"/>
        <color theme="1"/>
        <rFont val="宋体"/>
        <family val="2"/>
        <charset val="134"/>
      </rPr>
      <t>设备唯一识别</t>
    </r>
    <r>
      <rPr>
        <sz val="9"/>
        <color theme="1"/>
        <rFont val="Arial"/>
        <family val="2"/>
      </rPr>
      <t>ID</t>
    </r>
    <r>
      <rPr>
        <sz val="9"/>
        <color theme="1"/>
        <rFont val="宋体"/>
        <family val="2"/>
        <charset val="134"/>
      </rPr>
      <t>方案确定</t>
    </r>
  </si>
  <si>
    <r>
      <t>WebRTC</t>
    </r>
    <r>
      <rPr>
        <sz val="9"/>
        <color theme="1"/>
        <rFont val="宋体"/>
        <family val="2"/>
        <charset val="134"/>
      </rPr>
      <t>检测方案确定</t>
    </r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</si>
  <si>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</si>
  <si>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>1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</si>
  <si>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>2</t>
    </r>
    <phoneticPr fontId="8" type="noConversion"/>
  </si>
  <si>
    <t>Server端需求 - 修订稿2</t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</si>
  <si>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</si>
  <si>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</si>
  <si>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>1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</si>
  <si>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>2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</si>
  <si>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phoneticPr fontId="8" type="noConversion"/>
  </si>
  <si>
    <t>需求评审</t>
  </si>
  <si>
    <t>需求评审</t>
    <phoneticPr fontId="8" type="noConversion"/>
  </si>
  <si>
    <t>设计评审</t>
  </si>
  <si>
    <t>设计评审</t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</si>
  <si>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</si>
  <si>
    <t>App端需求 - 初稿</t>
  </si>
  <si>
    <t>App端需求 - 修订稿1</t>
  </si>
  <si>
    <t>App端需求 - 修订稿2</t>
  </si>
  <si>
    <t>App端需求 - 终稿</t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</si>
  <si>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</si>
  <si>
    <t>App端设计 - 初稿</t>
  </si>
  <si>
    <t>App端设计 - 修订稿1</t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</si>
  <si>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>1</t>
    </r>
  </si>
  <si>
    <t>App端设计 - 修订稿2</t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</si>
  <si>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>2</t>
    </r>
  </si>
  <si>
    <t>App端设计 - 终稿</t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</si>
  <si>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</si>
  <si>
    <t>人海8月份工作列表 - App端</t>
  </si>
  <si>
    <t>人海8月份工作列表 - Server端</t>
  </si>
  <si>
    <t>Server端需求 - 初稿</t>
  </si>
  <si>
    <t>Server端需求 - 修订稿1</t>
  </si>
  <si>
    <t>Server端需求 - 终稿</t>
  </si>
  <si>
    <t>Server端设计 - 初稿</t>
  </si>
  <si>
    <t>Server端设计 - 修订稿1</t>
  </si>
  <si>
    <t>Server端设计 - 修订稿2</t>
  </si>
  <si>
    <t>Server端设计 - 终稿</t>
  </si>
  <si>
    <t>人海8月份工作列表 - 共同</t>
  </si>
  <si>
    <t>Patrick</t>
  </si>
  <si>
    <t>Patrick</t>
    <phoneticPr fontId="8" type="noConversion"/>
  </si>
  <si>
    <t>Tomas</t>
    <phoneticPr fontId="8" type="noConversion"/>
  </si>
  <si>
    <t>Chris</t>
  </si>
  <si>
    <t>Chris</t>
    <phoneticPr fontId="8" type="noConversion"/>
  </si>
  <si>
    <t>2013-08</t>
  </si>
  <si>
    <t>2013-09</t>
  </si>
  <si>
    <t>Chris上班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</si>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</sst>
</file>

<file path=xl/styles.xml><?xml version="1.0" encoding="utf-8"?>
<styleSheet xmlns="http://schemas.openxmlformats.org/spreadsheetml/2006/main">
  <numFmts count="8">
    <numFmt numFmtId="176" formatCode="0.0_);[Red]\(0.0\)"/>
    <numFmt numFmtId="177" formatCode="0.0_ "/>
    <numFmt numFmtId="178" formatCode="[$-409]d/mmm;@"/>
    <numFmt numFmtId="179" formatCode="yyyy\-mm\-dd"/>
    <numFmt numFmtId="180" formatCode="0.0"/>
    <numFmt numFmtId="181" formatCode="mmmdd"/>
    <numFmt numFmtId="182" formatCode="dd"/>
    <numFmt numFmtId="183" formatCode="yyyy/mm/dd"/>
  </numFmts>
  <fonts count="19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sz val="9"/>
      <color theme="1"/>
      <name val="Verdana"/>
      <family val="2"/>
    </font>
    <font>
      <sz val="9"/>
      <color theme="1"/>
      <name val="宋体"/>
      <family val="2"/>
      <charset val="134"/>
      <scheme val="minor"/>
    </font>
    <font>
      <sz val="18"/>
      <color theme="0"/>
      <name val="黑体"/>
      <family val="3"/>
      <charset val="134"/>
    </font>
    <font>
      <sz val="16"/>
      <color theme="1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105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78" fontId="0" fillId="0" borderId="0" xfId="0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9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3" borderId="10" xfId="0" applyFont="1" applyFill="1" applyBorder="1" applyAlignment="1">
      <alignment vertical="center"/>
    </xf>
    <xf numFmtId="178" fontId="4" fillId="9" borderId="10" xfId="0" applyFont="1" applyFill="1" applyBorder="1" applyAlignment="1">
      <alignment vertical="center"/>
    </xf>
    <xf numFmtId="178" fontId="0" fillId="4" borderId="0" xfId="0" applyFill="1"/>
    <xf numFmtId="181" fontId="10" fillId="4" borderId="0" xfId="0" applyNumberFormat="1" applyFont="1" applyFill="1" applyAlignment="1">
      <alignment horizontal="center" vertical="center"/>
    </xf>
    <xf numFmtId="178" fontId="0" fillId="4" borderId="0" xfId="0" applyFill="1" applyAlignment="1">
      <alignment vertical="center"/>
    </xf>
    <xf numFmtId="178" fontId="0" fillId="4" borderId="9" xfId="0" applyFill="1" applyBorder="1" applyAlignment="1">
      <alignment vertical="center"/>
    </xf>
    <xf numFmtId="178" fontId="0" fillId="4" borderId="9" xfId="0" applyFill="1" applyBorder="1" applyAlignment="1">
      <alignment horizontal="center" vertical="center"/>
    </xf>
    <xf numFmtId="178" fontId="0" fillId="4" borderId="9" xfId="0" applyFill="1" applyBorder="1" applyAlignment="1">
      <alignment horizontal="center" vertical="center" wrapText="1"/>
    </xf>
    <xf numFmtId="178" fontId="0" fillId="4" borderId="9" xfId="0" applyFill="1" applyBorder="1" applyAlignment="1">
      <alignment vertical="center" wrapText="1"/>
    </xf>
    <xf numFmtId="178" fontId="0" fillId="4" borderId="0" xfId="0" applyFill="1" applyAlignment="1">
      <alignment vertical="center" wrapText="1"/>
    </xf>
    <xf numFmtId="182" fontId="9" fillId="10" borderId="9" xfId="0" applyNumberFormat="1" applyFont="1" applyFill="1" applyBorder="1" applyAlignment="1">
      <alignment horizontal="center" vertical="center"/>
    </xf>
    <xf numFmtId="178" fontId="0" fillId="4" borderId="0" xfId="0" quotePrefix="1" applyFill="1" applyAlignment="1">
      <alignment horizontal="right"/>
    </xf>
    <xf numFmtId="178" fontId="12" fillId="4" borderId="0" xfId="0" applyFont="1" applyFill="1"/>
    <xf numFmtId="178" fontId="3" fillId="13" borderId="0" xfId="0" applyFont="1" applyFill="1" applyBorder="1" applyAlignment="1">
      <alignment vertical="center"/>
    </xf>
    <xf numFmtId="176" fontId="1" fillId="13" borderId="0" xfId="0" applyNumberFormat="1" applyFont="1" applyFill="1" applyBorder="1" applyAlignment="1">
      <alignment vertical="center"/>
    </xf>
    <xf numFmtId="178" fontId="1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7" fillId="0" borderId="0" xfId="0" applyFont="1" applyFill="1" applyBorder="1" applyAlignment="1">
      <alignment horizontal="left" vertical="center" indent="1"/>
    </xf>
    <xf numFmtId="178" fontId="14" fillId="0" borderId="0" xfId="0" applyFont="1" applyBorder="1" applyAlignment="1">
      <alignment horizontal="left" vertical="center" indent="1"/>
    </xf>
    <xf numFmtId="178" fontId="4" fillId="2" borderId="0" xfId="0" applyFont="1" applyFill="1" applyBorder="1" applyAlignment="1">
      <alignment horizontal="center"/>
    </xf>
    <xf numFmtId="178" fontId="4" fillId="13" borderId="0" xfId="0" applyFont="1" applyFill="1" applyBorder="1" applyAlignment="1">
      <alignment horizontal="center"/>
    </xf>
    <xf numFmtId="178" fontId="4" fillId="2" borderId="10" xfId="0" applyFont="1" applyFill="1" applyBorder="1" applyAlignment="1">
      <alignment vertical="center"/>
    </xf>
    <xf numFmtId="178" fontId="4" fillId="14" borderId="0" xfId="0" applyFont="1" applyFill="1" applyBorder="1" applyAlignment="1">
      <alignment horizontal="center"/>
    </xf>
    <xf numFmtId="178" fontId="4" fillId="15" borderId="0" xfId="0" applyFont="1" applyFill="1" applyBorder="1" applyAlignment="1">
      <alignment vertical="center"/>
    </xf>
    <xf numFmtId="178" fontId="4" fillId="15" borderId="10" xfId="0" applyFont="1" applyFill="1" applyBorder="1" applyAlignment="1">
      <alignment vertical="center"/>
    </xf>
    <xf numFmtId="178" fontId="4" fillId="0" borderId="0" xfId="0" applyFont="1" applyFill="1" applyBorder="1" applyAlignment="1"/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178" fontId="4" fillId="2" borderId="12" xfId="0" applyFont="1" applyFill="1" applyBorder="1" applyAlignment="1">
      <alignment horizontal="center" vertical="center"/>
    </xf>
    <xf numFmtId="178" fontId="4" fillId="2" borderId="16" xfId="0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3" borderId="12" xfId="0" applyFont="1" applyFill="1" applyBorder="1" applyAlignment="1">
      <alignment horizontal="center" vertical="center"/>
    </xf>
    <xf numFmtId="178" fontId="4" fillId="0" borderId="13" xfId="0" applyFont="1" applyFill="1" applyBorder="1" applyAlignment="1">
      <alignment horizontal="center" vertical="center"/>
    </xf>
    <xf numFmtId="178" fontId="4" fillId="0" borderId="14" xfId="0" applyFont="1" applyFill="1" applyBorder="1" applyAlignment="1">
      <alignment horizontal="center" vertical="center"/>
    </xf>
    <xf numFmtId="178" fontId="4" fillId="0" borderId="15" xfId="0" applyFont="1" applyFill="1" applyBorder="1" applyAlignment="1">
      <alignment horizontal="center" vertical="center"/>
    </xf>
    <xf numFmtId="181" fontId="9" fillId="10" borderId="9" xfId="0" applyNumberFormat="1" applyFont="1" applyFill="1" applyBorder="1" applyAlignment="1">
      <alignment horizontal="center" vertical="center"/>
    </xf>
    <xf numFmtId="178" fontId="11" fillId="12" borderId="9" xfId="0" applyFont="1" applyFill="1" applyBorder="1" applyAlignment="1">
      <alignment horizontal="center" vertical="center"/>
    </xf>
    <xf numFmtId="178" fontId="0" fillId="11" borderId="9" xfId="0" applyFill="1" applyBorder="1" applyAlignment="1">
      <alignment horizontal="left" vertical="center"/>
    </xf>
    <xf numFmtId="178" fontId="0" fillId="4" borderId="9" xfId="0" applyFill="1" applyBorder="1" applyAlignment="1">
      <alignment horizontal="left" vertical="center"/>
    </xf>
    <xf numFmtId="183" fontId="0" fillId="4" borderId="9" xfId="0" applyNumberFormat="1" applyFill="1" applyBorder="1" applyAlignment="1">
      <alignment horizontal="left" vertical="center"/>
    </xf>
    <xf numFmtId="0" fontId="4" fillId="0" borderId="0" xfId="0" applyNumberFormat="1" applyFont="1" applyFill="1" applyBorder="1" applyAlignment="1"/>
    <xf numFmtId="0" fontId="4" fillId="0" borderId="0" xfId="0" applyNumberFormat="1" applyFont="1" applyFill="1" applyBorder="1" applyAlignment="1">
      <alignment horizontal="center"/>
    </xf>
    <xf numFmtId="0" fontId="4" fillId="0" borderId="13" xfId="0" applyNumberFormat="1" applyFont="1" applyFill="1" applyBorder="1" applyAlignment="1">
      <alignment horizontal="center"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9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</xdr:row>
      <xdr:rowOff>0</xdr:rowOff>
    </xdr:from>
    <xdr:to>
      <xdr:col>48</xdr:col>
      <xdr:colOff>95250</xdr:colOff>
      <xdr:row>4</xdr:row>
      <xdr:rowOff>0</xdr:rowOff>
    </xdr:to>
    <xdr:sp macro="" textlink="">
      <xdr:nvSpPr>
        <xdr:cNvPr id="119" name="TextBox 118"/>
        <xdr:cNvSpPr txBox="1"/>
      </xdr:nvSpPr>
      <xdr:spPr>
        <a:xfrm>
          <a:off x="634365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50 %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4</xdr:row>
      <xdr:rowOff>0</xdr:rowOff>
    </xdr:from>
    <xdr:to>
      <xdr:col>52</xdr:col>
      <xdr:colOff>95250</xdr:colOff>
      <xdr:row>5</xdr:row>
      <xdr:rowOff>0</xdr:rowOff>
    </xdr:to>
    <xdr:sp macro="" textlink="">
      <xdr:nvSpPr>
        <xdr:cNvPr id="120" name="TextBox 119"/>
        <xdr:cNvSpPr txBox="1"/>
      </xdr:nvSpPr>
      <xdr:spPr>
        <a:xfrm>
          <a:off x="68389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50 %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46</xdr:col>
      <xdr:colOff>95250</xdr:colOff>
      <xdr:row>6</xdr:row>
      <xdr:rowOff>0</xdr:rowOff>
    </xdr:to>
    <xdr:sp macro="" textlink="">
      <xdr:nvSpPr>
        <xdr:cNvPr id="121" name="TextBox 120"/>
        <xdr:cNvSpPr txBox="1"/>
      </xdr:nvSpPr>
      <xdr:spPr>
        <a:xfrm>
          <a:off x="6096000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6</xdr:row>
      <xdr:rowOff>0</xdr:rowOff>
    </xdr:from>
    <xdr:to>
      <xdr:col>54</xdr:col>
      <xdr:colOff>95250</xdr:colOff>
      <xdr:row>7</xdr:row>
      <xdr:rowOff>0</xdr:rowOff>
    </xdr:to>
    <xdr:sp macro="" textlink="">
      <xdr:nvSpPr>
        <xdr:cNvPr id="122" name="TextBox 121"/>
        <xdr:cNvSpPr txBox="1"/>
      </xdr:nvSpPr>
      <xdr:spPr>
        <a:xfrm>
          <a:off x="708660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7</xdr:row>
      <xdr:rowOff>0</xdr:rowOff>
    </xdr:from>
    <xdr:to>
      <xdr:col>52</xdr:col>
      <xdr:colOff>95250</xdr:colOff>
      <xdr:row>8</xdr:row>
      <xdr:rowOff>0</xdr:rowOff>
    </xdr:to>
    <xdr:sp macro="" textlink="">
      <xdr:nvSpPr>
        <xdr:cNvPr id="123" name="TextBox 122"/>
        <xdr:cNvSpPr txBox="1"/>
      </xdr:nvSpPr>
      <xdr:spPr>
        <a:xfrm>
          <a:off x="683895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8</xdr:row>
      <xdr:rowOff>0</xdr:rowOff>
    </xdr:from>
    <xdr:to>
      <xdr:col>56</xdr:col>
      <xdr:colOff>95250</xdr:colOff>
      <xdr:row>9</xdr:row>
      <xdr:rowOff>0</xdr:rowOff>
    </xdr:to>
    <xdr:sp macro="" textlink="">
      <xdr:nvSpPr>
        <xdr:cNvPr id="124" name="TextBox 123"/>
        <xdr:cNvSpPr txBox="1"/>
      </xdr:nvSpPr>
      <xdr:spPr>
        <a:xfrm>
          <a:off x="7334250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9</xdr:row>
      <xdr:rowOff>0</xdr:rowOff>
    </xdr:from>
    <xdr:to>
      <xdr:col>60</xdr:col>
      <xdr:colOff>95250</xdr:colOff>
      <xdr:row>10</xdr:row>
      <xdr:rowOff>0</xdr:rowOff>
    </xdr:to>
    <xdr:sp macro="" textlink="">
      <xdr:nvSpPr>
        <xdr:cNvPr id="125" name="TextBox 124"/>
        <xdr:cNvSpPr txBox="1"/>
      </xdr:nvSpPr>
      <xdr:spPr>
        <a:xfrm>
          <a:off x="782955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32</xdr:col>
      <xdr:colOff>0</xdr:colOff>
      <xdr:row>10</xdr:row>
      <xdr:rowOff>0</xdr:rowOff>
    </xdr:from>
    <xdr:to>
      <xdr:col>62</xdr:col>
      <xdr:colOff>95250</xdr:colOff>
      <xdr:row>11</xdr:row>
      <xdr:rowOff>0</xdr:rowOff>
    </xdr:to>
    <xdr:sp macro="" textlink="">
      <xdr:nvSpPr>
        <xdr:cNvPr id="126" name="TextBox 125"/>
        <xdr:cNvSpPr txBox="1"/>
      </xdr:nvSpPr>
      <xdr:spPr>
        <a:xfrm>
          <a:off x="807720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35</xdr:col>
      <xdr:colOff>0</xdr:colOff>
      <xdr:row>11</xdr:row>
      <xdr:rowOff>0</xdr:rowOff>
    </xdr:from>
    <xdr:to>
      <xdr:col>65</xdr:col>
      <xdr:colOff>95250</xdr:colOff>
      <xdr:row>12</xdr:row>
      <xdr:rowOff>0</xdr:rowOff>
    </xdr:to>
    <xdr:sp macro="" textlink="">
      <xdr:nvSpPr>
        <xdr:cNvPr id="127" name="TextBox 126"/>
        <xdr:cNvSpPr txBox="1"/>
      </xdr:nvSpPr>
      <xdr:spPr>
        <a:xfrm>
          <a:off x="8448675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41</xdr:col>
      <xdr:colOff>0</xdr:colOff>
      <xdr:row>12</xdr:row>
      <xdr:rowOff>0</xdr:rowOff>
    </xdr:from>
    <xdr:to>
      <xdr:col>71</xdr:col>
      <xdr:colOff>95250</xdr:colOff>
      <xdr:row>13</xdr:row>
      <xdr:rowOff>0</xdr:rowOff>
    </xdr:to>
    <xdr:sp macro="" textlink="">
      <xdr:nvSpPr>
        <xdr:cNvPr id="128" name="TextBox 127"/>
        <xdr:cNvSpPr txBox="1"/>
      </xdr:nvSpPr>
      <xdr:spPr>
        <a:xfrm>
          <a:off x="9191625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13</xdr:row>
      <xdr:rowOff>0</xdr:rowOff>
    </xdr:from>
    <xdr:to>
      <xdr:col>74</xdr:col>
      <xdr:colOff>95250</xdr:colOff>
      <xdr:row>14</xdr:row>
      <xdr:rowOff>0</xdr:rowOff>
    </xdr:to>
    <xdr:sp macro="" textlink="">
      <xdr:nvSpPr>
        <xdr:cNvPr id="129" name="TextBox 128"/>
        <xdr:cNvSpPr txBox="1"/>
      </xdr:nvSpPr>
      <xdr:spPr>
        <a:xfrm>
          <a:off x="9563100" y="2228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46</xdr:col>
      <xdr:colOff>0</xdr:colOff>
      <xdr:row>14</xdr:row>
      <xdr:rowOff>0</xdr:rowOff>
    </xdr:from>
    <xdr:to>
      <xdr:col>76</xdr:col>
      <xdr:colOff>95250</xdr:colOff>
      <xdr:row>15</xdr:row>
      <xdr:rowOff>0</xdr:rowOff>
    </xdr:to>
    <xdr:sp macro="" textlink="">
      <xdr:nvSpPr>
        <xdr:cNvPr id="130" name="TextBox 129"/>
        <xdr:cNvSpPr txBox="1"/>
      </xdr:nvSpPr>
      <xdr:spPr>
        <a:xfrm>
          <a:off x="9810750" y="2400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49</xdr:col>
      <xdr:colOff>0</xdr:colOff>
      <xdr:row>15</xdr:row>
      <xdr:rowOff>0</xdr:rowOff>
    </xdr:from>
    <xdr:to>
      <xdr:col>79</xdr:col>
      <xdr:colOff>95250</xdr:colOff>
      <xdr:row>16</xdr:row>
      <xdr:rowOff>0</xdr:rowOff>
    </xdr:to>
    <xdr:sp macro="" textlink="">
      <xdr:nvSpPr>
        <xdr:cNvPr id="131" name="TextBox 130"/>
        <xdr:cNvSpPr txBox="1"/>
      </xdr:nvSpPr>
      <xdr:spPr>
        <a:xfrm>
          <a:off x="10182225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51</xdr:col>
      <xdr:colOff>0</xdr:colOff>
      <xdr:row>16</xdr:row>
      <xdr:rowOff>0</xdr:rowOff>
    </xdr:from>
    <xdr:to>
      <xdr:col>81</xdr:col>
      <xdr:colOff>95250</xdr:colOff>
      <xdr:row>17</xdr:row>
      <xdr:rowOff>0</xdr:rowOff>
    </xdr:to>
    <xdr:sp macro="" textlink="">
      <xdr:nvSpPr>
        <xdr:cNvPr id="132" name="TextBox 131"/>
        <xdr:cNvSpPr txBox="1"/>
      </xdr:nvSpPr>
      <xdr:spPr>
        <a:xfrm>
          <a:off x="1042987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17</xdr:row>
      <xdr:rowOff>0</xdr:rowOff>
    </xdr:from>
    <xdr:to>
      <xdr:col>84</xdr:col>
      <xdr:colOff>95250</xdr:colOff>
      <xdr:row>18</xdr:row>
      <xdr:rowOff>0</xdr:rowOff>
    </xdr:to>
    <xdr:sp macro="" textlink="">
      <xdr:nvSpPr>
        <xdr:cNvPr id="133" name="TextBox 132"/>
        <xdr:cNvSpPr txBox="1"/>
      </xdr:nvSpPr>
      <xdr:spPr>
        <a:xfrm>
          <a:off x="1080135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18</xdr:row>
      <xdr:rowOff>0</xdr:rowOff>
    </xdr:from>
    <xdr:to>
      <xdr:col>86</xdr:col>
      <xdr:colOff>95250</xdr:colOff>
      <xdr:row>19</xdr:row>
      <xdr:rowOff>0</xdr:rowOff>
    </xdr:to>
    <xdr:sp macro="" textlink="">
      <xdr:nvSpPr>
        <xdr:cNvPr id="134" name="TextBox 133"/>
        <xdr:cNvSpPr txBox="1"/>
      </xdr:nvSpPr>
      <xdr:spPr>
        <a:xfrm>
          <a:off x="11049000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59</xdr:col>
      <xdr:colOff>0</xdr:colOff>
      <xdr:row>19</xdr:row>
      <xdr:rowOff>0</xdr:rowOff>
    </xdr:from>
    <xdr:to>
      <xdr:col>89</xdr:col>
      <xdr:colOff>95250</xdr:colOff>
      <xdr:row>20</xdr:row>
      <xdr:rowOff>0</xdr:rowOff>
    </xdr:to>
    <xdr:sp macro="" textlink="">
      <xdr:nvSpPr>
        <xdr:cNvPr id="135" name="TextBox 134"/>
        <xdr:cNvSpPr txBox="1"/>
      </xdr:nvSpPr>
      <xdr:spPr>
        <a:xfrm>
          <a:off x="11420475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20</xdr:row>
      <xdr:rowOff>0</xdr:rowOff>
    </xdr:from>
    <xdr:to>
      <xdr:col>40</xdr:col>
      <xdr:colOff>95250</xdr:colOff>
      <xdr:row>21</xdr:row>
      <xdr:rowOff>0</xdr:rowOff>
    </xdr:to>
    <xdr:sp macro="" textlink="">
      <xdr:nvSpPr>
        <xdr:cNvPr id="136" name="TextBox 135"/>
        <xdr:cNvSpPr txBox="1"/>
      </xdr:nvSpPr>
      <xdr:spPr>
        <a:xfrm>
          <a:off x="53530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28 %</a:t>
          </a:r>
          <a:endParaRPr lang="zh-CN" altLang="en-US" sz="600"/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39</xdr:col>
      <xdr:colOff>95250</xdr:colOff>
      <xdr:row>22</xdr:row>
      <xdr:rowOff>0</xdr:rowOff>
    </xdr:to>
    <xdr:sp macro="" textlink="">
      <xdr:nvSpPr>
        <xdr:cNvPr id="137" name="TextBox 136"/>
        <xdr:cNvSpPr txBox="1"/>
      </xdr:nvSpPr>
      <xdr:spPr>
        <a:xfrm>
          <a:off x="5229225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20 %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24</xdr:row>
      <xdr:rowOff>0</xdr:rowOff>
    </xdr:from>
    <xdr:to>
      <xdr:col>42</xdr:col>
      <xdr:colOff>95250</xdr:colOff>
      <xdr:row>25</xdr:row>
      <xdr:rowOff>0</xdr:rowOff>
    </xdr:to>
    <xdr:sp macro="" textlink="">
      <xdr:nvSpPr>
        <xdr:cNvPr id="138" name="TextBox 137"/>
        <xdr:cNvSpPr txBox="1"/>
      </xdr:nvSpPr>
      <xdr:spPr>
        <a:xfrm>
          <a:off x="560070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50 %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25</xdr:row>
      <xdr:rowOff>0</xdr:rowOff>
    </xdr:from>
    <xdr:to>
      <xdr:col>44</xdr:col>
      <xdr:colOff>95250</xdr:colOff>
      <xdr:row>26</xdr:row>
      <xdr:rowOff>0</xdr:rowOff>
    </xdr:to>
    <xdr:sp macro="" textlink="">
      <xdr:nvSpPr>
        <xdr:cNvPr id="139" name="TextBox 138"/>
        <xdr:cNvSpPr txBox="1"/>
      </xdr:nvSpPr>
      <xdr:spPr>
        <a:xfrm>
          <a:off x="5848350" y="4286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26</xdr:row>
      <xdr:rowOff>0</xdr:rowOff>
    </xdr:from>
    <xdr:to>
      <xdr:col>48</xdr:col>
      <xdr:colOff>95250</xdr:colOff>
      <xdr:row>27</xdr:row>
      <xdr:rowOff>0</xdr:rowOff>
    </xdr:to>
    <xdr:sp macro="" textlink="">
      <xdr:nvSpPr>
        <xdr:cNvPr id="140" name="TextBox 139"/>
        <xdr:cNvSpPr txBox="1"/>
      </xdr:nvSpPr>
      <xdr:spPr>
        <a:xfrm>
          <a:off x="6343650" y="4457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27</xdr:row>
      <xdr:rowOff>0</xdr:rowOff>
    </xdr:from>
    <xdr:to>
      <xdr:col>50</xdr:col>
      <xdr:colOff>95250</xdr:colOff>
      <xdr:row>28</xdr:row>
      <xdr:rowOff>0</xdr:rowOff>
    </xdr:to>
    <xdr:sp macro="" textlink="">
      <xdr:nvSpPr>
        <xdr:cNvPr id="141" name="TextBox 140"/>
        <xdr:cNvSpPr txBox="1"/>
      </xdr:nvSpPr>
      <xdr:spPr>
        <a:xfrm>
          <a:off x="659130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28</xdr:row>
      <xdr:rowOff>0</xdr:rowOff>
    </xdr:from>
    <xdr:to>
      <xdr:col>54</xdr:col>
      <xdr:colOff>95250</xdr:colOff>
      <xdr:row>29</xdr:row>
      <xdr:rowOff>0</xdr:rowOff>
    </xdr:to>
    <xdr:sp macro="" textlink="">
      <xdr:nvSpPr>
        <xdr:cNvPr id="142" name="TextBox 141"/>
        <xdr:cNvSpPr txBox="1"/>
      </xdr:nvSpPr>
      <xdr:spPr>
        <a:xfrm>
          <a:off x="7086600" y="4800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29</xdr:row>
      <xdr:rowOff>0</xdr:rowOff>
    </xdr:from>
    <xdr:to>
      <xdr:col>56</xdr:col>
      <xdr:colOff>95250</xdr:colOff>
      <xdr:row>30</xdr:row>
      <xdr:rowOff>0</xdr:rowOff>
    </xdr:to>
    <xdr:sp macro="" textlink="">
      <xdr:nvSpPr>
        <xdr:cNvPr id="143" name="TextBox 142"/>
        <xdr:cNvSpPr txBox="1"/>
      </xdr:nvSpPr>
      <xdr:spPr>
        <a:xfrm>
          <a:off x="7334250" y="4972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32</xdr:col>
      <xdr:colOff>0</xdr:colOff>
      <xdr:row>30</xdr:row>
      <xdr:rowOff>0</xdr:rowOff>
    </xdr:from>
    <xdr:to>
      <xdr:col>62</xdr:col>
      <xdr:colOff>95250</xdr:colOff>
      <xdr:row>31</xdr:row>
      <xdr:rowOff>0</xdr:rowOff>
    </xdr:to>
    <xdr:sp macro="" textlink="">
      <xdr:nvSpPr>
        <xdr:cNvPr id="144" name="TextBox 143"/>
        <xdr:cNvSpPr txBox="1"/>
      </xdr:nvSpPr>
      <xdr:spPr>
        <a:xfrm>
          <a:off x="8077200" y="5143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31</xdr:row>
      <xdr:rowOff>0</xdr:rowOff>
    </xdr:from>
    <xdr:to>
      <xdr:col>63</xdr:col>
      <xdr:colOff>95250</xdr:colOff>
      <xdr:row>32</xdr:row>
      <xdr:rowOff>0</xdr:rowOff>
    </xdr:to>
    <xdr:sp macro="" textlink="">
      <xdr:nvSpPr>
        <xdr:cNvPr id="145" name="TextBox 144"/>
        <xdr:cNvSpPr txBox="1"/>
      </xdr:nvSpPr>
      <xdr:spPr>
        <a:xfrm>
          <a:off x="8201025" y="5314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43</xdr:col>
      <xdr:colOff>0</xdr:colOff>
      <xdr:row>32</xdr:row>
      <xdr:rowOff>0</xdr:rowOff>
    </xdr:from>
    <xdr:to>
      <xdr:col>73</xdr:col>
      <xdr:colOff>95250</xdr:colOff>
      <xdr:row>33</xdr:row>
      <xdr:rowOff>0</xdr:rowOff>
    </xdr:to>
    <xdr:sp macro="" textlink="">
      <xdr:nvSpPr>
        <xdr:cNvPr id="146" name="TextBox 145"/>
        <xdr:cNvSpPr txBox="1"/>
      </xdr:nvSpPr>
      <xdr:spPr>
        <a:xfrm>
          <a:off x="9439275" y="5486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33</xdr:row>
      <xdr:rowOff>0</xdr:rowOff>
    </xdr:from>
    <xdr:to>
      <xdr:col>72</xdr:col>
      <xdr:colOff>95250</xdr:colOff>
      <xdr:row>34</xdr:row>
      <xdr:rowOff>0</xdr:rowOff>
    </xdr:to>
    <xdr:sp macro="" textlink="">
      <xdr:nvSpPr>
        <xdr:cNvPr id="147" name="TextBox 146"/>
        <xdr:cNvSpPr txBox="1"/>
      </xdr:nvSpPr>
      <xdr:spPr>
        <a:xfrm>
          <a:off x="9315450" y="5657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46</xdr:col>
      <xdr:colOff>0</xdr:colOff>
      <xdr:row>34</xdr:row>
      <xdr:rowOff>0</xdr:rowOff>
    </xdr:from>
    <xdr:to>
      <xdr:col>76</xdr:col>
      <xdr:colOff>95250</xdr:colOff>
      <xdr:row>35</xdr:row>
      <xdr:rowOff>0</xdr:rowOff>
    </xdr:to>
    <xdr:sp macro="" textlink="">
      <xdr:nvSpPr>
        <xdr:cNvPr id="148" name="TextBox 147"/>
        <xdr:cNvSpPr txBox="1"/>
      </xdr:nvSpPr>
      <xdr:spPr>
        <a:xfrm>
          <a:off x="9810750" y="5829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47</xdr:col>
      <xdr:colOff>0</xdr:colOff>
      <xdr:row>35</xdr:row>
      <xdr:rowOff>0</xdr:rowOff>
    </xdr:from>
    <xdr:to>
      <xdr:col>77</xdr:col>
      <xdr:colOff>95250</xdr:colOff>
      <xdr:row>36</xdr:row>
      <xdr:rowOff>0</xdr:rowOff>
    </xdr:to>
    <xdr:sp macro="" textlink="">
      <xdr:nvSpPr>
        <xdr:cNvPr id="149" name="TextBox 148"/>
        <xdr:cNvSpPr txBox="1"/>
      </xdr:nvSpPr>
      <xdr:spPr>
        <a:xfrm>
          <a:off x="9934575" y="6000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51</xdr:col>
      <xdr:colOff>0</xdr:colOff>
      <xdr:row>36</xdr:row>
      <xdr:rowOff>0</xdr:rowOff>
    </xdr:from>
    <xdr:to>
      <xdr:col>81</xdr:col>
      <xdr:colOff>95250</xdr:colOff>
      <xdr:row>37</xdr:row>
      <xdr:rowOff>0</xdr:rowOff>
    </xdr:to>
    <xdr:sp macro="" textlink="">
      <xdr:nvSpPr>
        <xdr:cNvPr id="150" name="TextBox 149"/>
        <xdr:cNvSpPr txBox="1"/>
      </xdr:nvSpPr>
      <xdr:spPr>
        <a:xfrm>
          <a:off x="10429875" y="6172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37</xdr:row>
      <xdr:rowOff>0</xdr:rowOff>
    </xdr:from>
    <xdr:to>
      <xdr:col>82</xdr:col>
      <xdr:colOff>95250</xdr:colOff>
      <xdr:row>38</xdr:row>
      <xdr:rowOff>0</xdr:rowOff>
    </xdr:to>
    <xdr:sp macro="" textlink="">
      <xdr:nvSpPr>
        <xdr:cNvPr id="151" name="TextBox 150"/>
        <xdr:cNvSpPr txBox="1"/>
      </xdr:nvSpPr>
      <xdr:spPr>
        <a:xfrm>
          <a:off x="10553700" y="6343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38</xdr:row>
      <xdr:rowOff>0</xdr:rowOff>
    </xdr:from>
    <xdr:to>
      <xdr:col>86</xdr:col>
      <xdr:colOff>95250</xdr:colOff>
      <xdr:row>39</xdr:row>
      <xdr:rowOff>0</xdr:rowOff>
    </xdr:to>
    <xdr:sp macro="" textlink="">
      <xdr:nvSpPr>
        <xdr:cNvPr id="152" name="TextBox 151"/>
        <xdr:cNvSpPr txBox="1"/>
      </xdr:nvSpPr>
      <xdr:spPr>
        <a:xfrm>
          <a:off x="11049000" y="6515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57</xdr:col>
      <xdr:colOff>0</xdr:colOff>
      <xdr:row>39</xdr:row>
      <xdr:rowOff>0</xdr:rowOff>
    </xdr:from>
    <xdr:to>
      <xdr:col>87</xdr:col>
      <xdr:colOff>95250</xdr:colOff>
      <xdr:row>40</xdr:row>
      <xdr:rowOff>0</xdr:rowOff>
    </xdr:to>
    <xdr:sp macro="" textlink="">
      <xdr:nvSpPr>
        <xdr:cNvPr id="153" name="TextBox 152"/>
        <xdr:cNvSpPr txBox="1"/>
      </xdr:nvSpPr>
      <xdr:spPr>
        <a:xfrm>
          <a:off x="11172825" y="6686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100 %, Chris 20 %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42</xdr:row>
      <xdr:rowOff>0</xdr:rowOff>
    </xdr:from>
    <xdr:to>
      <xdr:col>40</xdr:col>
      <xdr:colOff>95250</xdr:colOff>
      <xdr:row>43</xdr:row>
      <xdr:rowOff>0</xdr:rowOff>
    </xdr:to>
    <xdr:sp macro="" textlink="">
      <xdr:nvSpPr>
        <xdr:cNvPr id="154" name="TextBox 153"/>
        <xdr:cNvSpPr txBox="1"/>
      </xdr:nvSpPr>
      <xdr:spPr>
        <a:xfrm>
          <a:off x="5353050" y="7200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50 %, Tomas 50 %</a:t>
          </a:r>
          <a:endParaRPr lang="zh-CN" altLang="en-US" sz="600"/>
        </a:p>
      </xdr:txBody>
    </xdr:sp>
    <xdr:clientData/>
  </xdr:twoCellAnchor>
  <xdr:twoCellAnchor>
    <xdr:from>
      <xdr:col>29</xdr:col>
      <xdr:colOff>0</xdr:colOff>
      <xdr:row>43</xdr:row>
      <xdr:rowOff>0</xdr:rowOff>
    </xdr:from>
    <xdr:to>
      <xdr:col>59</xdr:col>
      <xdr:colOff>95250</xdr:colOff>
      <xdr:row>44</xdr:row>
      <xdr:rowOff>0</xdr:rowOff>
    </xdr:to>
    <xdr:sp macro="" textlink="">
      <xdr:nvSpPr>
        <xdr:cNvPr id="155" name="TextBox 154"/>
        <xdr:cNvSpPr txBox="1"/>
      </xdr:nvSpPr>
      <xdr:spPr>
        <a:xfrm>
          <a:off x="7705725" y="7372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44</xdr:row>
      <xdr:rowOff>0</xdr:rowOff>
    </xdr:from>
    <xdr:to>
      <xdr:col>42</xdr:col>
      <xdr:colOff>95250</xdr:colOff>
      <xdr:row>45</xdr:row>
      <xdr:rowOff>0</xdr:rowOff>
    </xdr:to>
    <xdr:sp macro="" textlink="">
      <xdr:nvSpPr>
        <xdr:cNvPr id="156" name="TextBox 155"/>
        <xdr:cNvSpPr txBox="1"/>
      </xdr:nvSpPr>
      <xdr:spPr>
        <a:xfrm>
          <a:off x="5600700" y="75438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58</xdr:col>
      <xdr:colOff>0</xdr:colOff>
      <xdr:row>45</xdr:row>
      <xdr:rowOff>0</xdr:rowOff>
    </xdr:from>
    <xdr:to>
      <xdr:col>88</xdr:col>
      <xdr:colOff>95250</xdr:colOff>
      <xdr:row>46</xdr:row>
      <xdr:rowOff>0</xdr:rowOff>
    </xdr:to>
    <xdr:sp macro="" textlink="">
      <xdr:nvSpPr>
        <xdr:cNvPr id="157" name="TextBox 156"/>
        <xdr:cNvSpPr txBox="1"/>
      </xdr:nvSpPr>
      <xdr:spPr>
        <a:xfrm>
          <a:off x="11296650" y="77247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9525</xdr:rowOff>
    </xdr:from>
    <xdr:to>
      <xdr:col>34</xdr:col>
      <xdr:colOff>371475</xdr:colOff>
      <xdr:row>24</xdr:row>
      <xdr:rowOff>57150</xdr:rowOff>
    </xdr:to>
    <xdr:sp macro="" textlink="">
      <xdr:nvSpPr>
        <xdr:cNvPr id="27" name="五边形 26"/>
        <xdr:cNvSpPr/>
      </xdr:nvSpPr>
      <xdr:spPr>
        <a:xfrm>
          <a:off x="3400425" y="1457325"/>
          <a:ext cx="8639175" cy="3752850"/>
        </a:xfrm>
        <a:prstGeom prst="homePlate">
          <a:avLst>
            <a:gd name="adj" fmla="val 9761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15</xdr:col>
      <xdr:colOff>262976</xdr:colOff>
      <xdr:row>4</xdr:row>
      <xdr:rowOff>15457</xdr:rowOff>
    </xdr:from>
    <xdr:to>
      <xdr:col>16</xdr:col>
      <xdr:colOff>795</xdr:colOff>
      <xdr:row>24</xdr:row>
      <xdr:rowOff>66745</xdr:rowOff>
    </xdr:to>
    <xdr:cxnSp macro="">
      <xdr:nvCxnSpPr>
        <xdr:cNvPr id="23" name="直接连接符 22"/>
        <xdr:cNvCxnSpPr/>
      </xdr:nvCxnSpPr>
      <xdr:spPr>
        <a:xfrm rot="5400000">
          <a:off x="3439991" y="2780576"/>
          <a:ext cx="3700096" cy="1588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123765</xdr:colOff>
      <xdr:row>4</xdr:row>
      <xdr:rowOff>8131</xdr:rowOff>
    </xdr:from>
    <xdr:to>
      <xdr:col>20</xdr:col>
      <xdr:colOff>125353</xdr:colOff>
      <xdr:row>24</xdr:row>
      <xdr:rowOff>59419</xdr:rowOff>
    </xdr:to>
    <xdr:cxnSp macro="">
      <xdr:nvCxnSpPr>
        <xdr:cNvPr id="24" name="直接连接符 23"/>
        <xdr:cNvCxnSpPr/>
      </xdr:nvCxnSpPr>
      <xdr:spPr>
        <a:xfrm rot="5400000">
          <a:off x="6081347" y="3385049"/>
          <a:ext cx="3868615" cy="1588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138418</xdr:colOff>
      <xdr:row>4</xdr:row>
      <xdr:rowOff>805</xdr:rowOff>
    </xdr:from>
    <xdr:to>
      <xdr:col>22</xdr:col>
      <xdr:colOff>140006</xdr:colOff>
      <xdr:row>24</xdr:row>
      <xdr:rowOff>52093</xdr:rowOff>
    </xdr:to>
    <xdr:cxnSp macro="">
      <xdr:nvCxnSpPr>
        <xdr:cNvPr id="25" name="直接连接符 24"/>
        <xdr:cNvCxnSpPr/>
      </xdr:nvCxnSpPr>
      <xdr:spPr>
        <a:xfrm rot="5400000">
          <a:off x="6623539" y="3377723"/>
          <a:ext cx="3868615" cy="1588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4</xdr:row>
      <xdr:rowOff>352425</xdr:rowOff>
    </xdr:from>
    <xdr:to>
      <xdr:col>5</xdr:col>
      <xdr:colOff>38100</xdr:colOff>
      <xdr:row>5</xdr:row>
      <xdr:rowOff>114300</xdr:rowOff>
    </xdr:to>
    <xdr:sp macro="" textlink="">
      <xdr:nvSpPr>
        <xdr:cNvPr id="28" name="五边形 27"/>
        <xdr:cNvSpPr/>
      </xdr:nvSpPr>
      <xdr:spPr>
        <a:xfrm>
          <a:off x="3409950" y="1800225"/>
          <a:ext cx="561975" cy="209550"/>
        </a:xfrm>
        <a:prstGeom prst="homePlat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lIns="0" tIns="57600" rIns="0" bIns="46800" rtlCol="0" anchor="ctr"/>
        <a:lstStyle/>
        <a:p>
          <a:pPr algn="ctr"/>
          <a:r>
            <a:rPr lang="zh-CN" altLang="en-US" sz="1100"/>
            <a:t>需求</a:t>
          </a:r>
        </a:p>
      </xdr:txBody>
    </xdr:sp>
    <xdr:clientData/>
  </xdr:twoCellAnchor>
  <xdr:twoCellAnchor>
    <xdr:from>
      <xdr:col>5</xdr:col>
      <xdr:colOff>9525</xdr:colOff>
      <xdr:row>7</xdr:row>
      <xdr:rowOff>9525</xdr:rowOff>
    </xdr:from>
    <xdr:to>
      <xdr:col>7</xdr:col>
      <xdr:colOff>38100</xdr:colOff>
      <xdr:row>8</xdr:row>
      <xdr:rowOff>47625</xdr:rowOff>
    </xdr:to>
    <xdr:sp macro="" textlink="">
      <xdr:nvSpPr>
        <xdr:cNvPr id="29" name="五边形 28"/>
        <xdr:cNvSpPr/>
      </xdr:nvSpPr>
      <xdr:spPr>
        <a:xfrm>
          <a:off x="3943350" y="2247900"/>
          <a:ext cx="561975" cy="209550"/>
        </a:xfrm>
        <a:prstGeom prst="homePlat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lIns="0" tIns="57600" rIns="0" bIns="46800" rtlCol="0" anchor="ctr"/>
        <a:lstStyle/>
        <a:p>
          <a:pPr marL="0" indent="0" algn="ctr"/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设计</a:t>
          </a:r>
        </a:p>
      </xdr:txBody>
    </xdr:sp>
    <xdr:clientData/>
  </xdr:twoCellAnchor>
  <xdr:twoCellAnchor>
    <xdr:from>
      <xdr:col>7</xdr:col>
      <xdr:colOff>38100</xdr:colOff>
      <xdr:row>9</xdr:row>
      <xdr:rowOff>76199</xdr:rowOff>
    </xdr:from>
    <xdr:to>
      <xdr:col>15</xdr:col>
      <xdr:colOff>238125</xdr:colOff>
      <xdr:row>10</xdr:row>
      <xdr:rowOff>123824</xdr:rowOff>
    </xdr:to>
    <xdr:sp macro="" textlink="">
      <xdr:nvSpPr>
        <xdr:cNvPr id="30" name="五边形 29"/>
        <xdr:cNvSpPr/>
      </xdr:nvSpPr>
      <xdr:spPr>
        <a:xfrm>
          <a:off x="4505325" y="2657474"/>
          <a:ext cx="2333625" cy="219075"/>
        </a:xfrm>
        <a:prstGeom prst="homePlat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lIns="0" tIns="57600" rIns="0" bIns="46800" rtlCol="0" anchor="ctr"/>
        <a:lstStyle/>
        <a:p>
          <a:pPr marL="0" indent="0" algn="ctr"/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功能编码测试</a:t>
          </a:r>
        </a:p>
      </xdr:txBody>
    </xdr:sp>
    <xdr:clientData/>
  </xdr:twoCellAnchor>
  <xdr:twoCellAnchor>
    <xdr:from>
      <xdr:col>18</xdr:col>
      <xdr:colOff>104715</xdr:colOff>
      <xdr:row>4</xdr:row>
      <xdr:rowOff>8132</xdr:rowOff>
    </xdr:from>
    <xdr:to>
      <xdr:col>18</xdr:col>
      <xdr:colOff>106303</xdr:colOff>
      <xdr:row>24</xdr:row>
      <xdr:rowOff>59420</xdr:rowOff>
    </xdr:to>
    <xdr:cxnSp macro="">
      <xdr:nvCxnSpPr>
        <xdr:cNvPr id="34" name="直接连接符 33"/>
        <xdr:cNvCxnSpPr/>
      </xdr:nvCxnSpPr>
      <xdr:spPr>
        <a:xfrm rot="5400000">
          <a:off x="5628177" y="3333395"/>
          <a:ext cx="3756513" cy="1588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107731</xdr:colOff>
      <xdr:row>14</xdr:row>
      <xdr:rowOff>163237</xdr:rowOff>
    </xdr:from>
    <xdr:to>
      <xdr:col>22</xdr:col>
      <xdr:colOff>174406</xdr:colOff>
      <xdr:row>16</xdr:row>
      <xdr:rowOff>67988</xdr:rowOff>
    </xdr:to>
    <xdr:sp macro="" textlink="">
      <xdr:nvSpPr>
        <xdr:cNvPr id="33" name="五边形 32"/>
        <xdr:cNvSpPr/>
      </xdr:nvSpPr>
      <xdr:spPr>
        <a:xfrm>
          <a:off x="6000093" y="3073289"/>
          <a:ext cx="1143985" cy="246337"/>
        </a:xfrm>
        <a:prstGeom prst="homePlat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lIns="0" tIns="57600" rIns="0" bIns="46800" rtlCol="0" anchor="ctr"/>
        <a:lstStyle/>
        <a:p>
          <a:pPr marL="0" indent="0" algn="ctr"/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App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上架</a:t>
          </a:r>
        </a:p>
      </xdr:txBody>
    </xdr:sp>
    <xdr:clientData/>
  </xdr:twoCellAnchor>
  <xdr:twoCellAnchor>
    <xdr:from>
      <xdr:col>16</xdr:col>
      <xdr:colOff>0</xdr:colOff>
      <xdr:row>12</xdr:row>
      <xdr:rowOff>7225</xdr:rowOff>
    </xdr:from>
    <xdr:to>
      <xdr:col>20</xdr:col>
      <xdr:colOff>133350</xdr:colOff>
      <xdr:row>13</xdr:row>
      <xdr:rowOff>82769</xdr:rowOff>
    </xdr:to>
    <xdr:sp macro="" textlink="">
      <xdr:nvSpPr>
        <xdr:cNvPr id="32" name="五边形 31"/>
        <xdr:cNvSpPr/>
      </xdr:nvSpPr>
      <xdr:spPr>
        <a:xfrm>
          <a:off x="5353707" y="2575691"/>
          <a:ext cx="1210660" cy="246337"/>
        </a:xfrm>
        <a:prstGeom prst="homePlat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lIns="0" tIns="57600" rIns="0" bIns="46800" rtlCol="0" anchor="ctr"/>
        <a:lstStyle/>
        <a:p>
          <a:pPr marL="0" indent="0" algn="ctr"/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性能测试</a:t>
          </a:r>
        </a:p>
      </xdr:txBody>
    </xdr:sp>
    <xdr:clientData/>
  </xdr:twoCellAnchor>
  <xdr:twoCellAnchor>
    <xdr:from>
      <xdr:col>12</xdr:col>
      <xdr:colOff>118241</xdr:colOff>
      <xdr:row>4</xdr:row>
      <xdr:rowOff>278422</xdr:rowOff>
    </xdr:from>
    <xdr:to>
      <xdr:col>15</xdr:col>
      <xdr:colOff>144518</xdr:colOff>
      <xdr:row>6</xdr:row>
      <xdr:rowOff>137946</xdr:rowOff>
    </xdr:to>
    <xdr:sp macro="" textlink="">
      <xdr:nvSpPr>
        <xdr:cNvPr id="35" name="矩形标注 34"/>
        <xdr:cNvSpPr/>
      </xdr:nvSpPr>
      <xdr:spPr>
        <a:xfrm>
          <a:off x="4353203" y="1194287"/>
          <a:ext cx="817584" cy="474986"/>
        </a:xfrm>
        <a:prstGeom prst="wedgeRectCallout">
          <a:avLst>
            <a:gd name="adj1" fmla="val 76126"/>
            <a:gd name="adj2" fmla="val -108019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lIns="0" tIns="57600" rIns="0" bIns="46800" rtlCol="0" anchor="ctr"/>
        <a:lstStyle/>
        <a:p>
          <a:pPr marL="0" indent="0" algn="ctr"/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2013-11-01</a:t>
          </a:r>
        </a:p>
        <a:p>
          <a:pPr marL="0" indent="0" algn="ctr"/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Mid-review</a:t>
          </a:r>
          <a:endParaRPr lang="zh-CN" alt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2</xdr:row>
      <xdr:rowOff>104776</xdr:rowOff>
    </xdr:from>
    <xdr:to>
      <xdr:col>2</xdr:col>
      <xdr:colOff>161924</xdr:colOff>
      <xdr:row>5</xdr:row>
      <xdr:rowOff>28575</xdr:rowOff>
    </xdr:to>
    <xdr:sp macro="" textlink="">
      <xdr:nvSpPr>
        <xdr:cNvPr id="2" name="流程图: 可选过程 1"/>
        <xdr:cNvSpPr/>
      </xdr:nvSpPr>
      <xdr:spPr>
        <a:xfrm>
          <a:off x="561975" y="447676"/>
          <a:ext cx="971549" cy="438149"/>
        </a:xfrm>
        <a:prstGeom prst="flowChartAlternateProcess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100"/>
            <a:t>需求</a:t>
          </a:r>
          <a:endParaRPr lang="en-US" altLang="zh-CN" sz="1100"/>
        </a:p>
      </xdr:txBody>
    </xdr:sp>
    <xdr:clientData/>
  </xdr:twoCellAnchor>
  <xdr:twoCellAnchor>
    <xdr:from>
      <xdr:col>2</xdr:col>
      <xdr:colOff>180975</xdr:colOff>
      <xdr:row>6</xdr:row>
      <xdr:rowOff>57151</xdr:rowOff>
    </xdr:from>
    <xdr:to>
      <xdr:col>3</xdr:col>
      <xdr:colOff>466724</xdr:colOff>
      <xdr:row>8</xdr:row>
      <xdr:rowOff>152400</xdr:rowOff>
    </xdr:to>
    <xdr:sp macro="" textlink="">
      <xdr:nvSpPr>
        <xdr:cNvPr id="3" name="流程图: 可选过程 2"/>
        <xdr:cNvSpPr/>
      </xdr:nvSpPr>
      <xdr:spPr>
        <a:xfrm>
          <a:off x="1552575" y="1085851"/>
          <a:ext cx="971549" cy="438149"/>
        </a:xfrm>
        <a:prstGeom prst="flowChartAlternateProcess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100"/>
            <a:t>设计</a:t>
          </a:r>
          <a:r>
            <a:rPr lang="en-US" altLang="zh-CN" sz="1100"/>
            <a:t>/</a:t>
          </a:r>
          <a:r>
            <a:rPr lang="zh-CN" altLang="en-US" sz="1100"/>
            <a:t>建模</a:t>
          </a:r>
          <a:endParaRPr lang="en-US" altLang="zh-CN" sz="1100"/>
        </a:p>
      </xdr:txBody>
    </xdr:sp>
    <xdr:clientData/>
  </xdr:twoCellAnchor>
  <xdr:twoCellAnchor>
    <xdr:from>
      <xdr:col>5</xdr:col>
      <xdr:colOff>114300</xdr:colOff>
      <xdr:row>14</xdr:row>
      <xdr:rowOff>142876</xdr:rowOff>
    </xdr:from>
    <xdr:to>
      <xdr:col>6</xdr:col>
      <xdr:colOff>400049</xdr:colOff>
      <xdr:row>17</xdr:row>
      <xdr:rowOff>66675</xdr:rowOff>
    </xdr:to>
    <xdr:sp macro="" textlink="">
      <xdr:nvSpPr>
        <xdr:cNvPr id="4" name="流程图: 可选过程 3"/>
        <xdr:cNvSpPr/>
      </xdr:nvSpPr>
      <xdr:spPr>
        <a:xfrm>
          <a:off x="3543300" y="2543176"/>
          <a:ext cx="971549" cy="438149"/>
        </a:xfrm>
        <a:prstGeom prst="flowChartAlternateProcess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100"/>
            <a:t>单元测试</a:t>
          </a:r>
          <a:endParaRPr lang="en-US" altLang="zh-CN" sz="1100"/>
        </a:p>
      </xdr:txBody>
    </xdr:sp>
    <xdr:clientData/>
  </xdr:twoCellAnchor>
  <xdr:twoCellAnchor>
    <xdr:from>
      <xdr:col>6</xdr:col>
      <xdr:colOff>419100</xdr:colOff>
      <xdr:row>19</xdr:row>
      <xdr:rowOff>47626</xdr:rowOff>
    </xdr:from>
    <xdr:to>
      <xdr:col>8</xdr:col>
      <xdr:colOff>19049</xdr:colOff>
      <xdr:row>21</xdr:row>
      <xdr:rowOff>142875</xdr:rowOff>
    </xdr:to>
    <xdr:sp macro="" textlink="">
      <xdr:nvSpPr>
        <xdr:cNvPr id="5" name="流程图: 可选过程 4"/>
        <xdr:cNvSpPr/>
      </xdr:nvSpPr>
      <xdr:spPr>
        <a:xfrm>
          <a:off x="4533900" y="3305176"/>
          <a:ext cx="971549" cy="438149"/>
        </a:xfrm>
        <a:prstGeom prst="flowChartAlternateProcess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100"/>
            <a:t>编码</a:t>
          </a:r>
          <a:endParaRPr lang="en-US" altLang="zh-CN" sz="1100"/>
        </a:p>
      </xdr:txBody>
    </xdr:sp>
    <xdr:clientData/>
  </xdr:twoCellAnchor>
  <xdr:twoCellAnchor>
    <xdr:from>
      <xdr:col>8</xdr:col>
      <xdr:colOff>19050</xdr:colOff>
      <xdr:row>23</xdr:row>
      <xdr:rowOff>123826</xdr:rowOff>
    </xdr:from>
    <xdr:to>
      <xdr:col>9</xdr:col>
      <xdr:colOff>304799</xdr:colOff>
      <xdr:row>26</xdr:row>
      <xdr:rowOff>47625</xdr:rowOff>
    </xdr:to>
    <xdr:sp macro="" textlink="">
      <xdr:nvSpPr>
        <xdr:cNvPr id="6" name="流程图: 可选过程 5"/>
        <xdr:cNvSpPr/>
      </xdr:nvSpPr>
      <xdr:spPr>
        <a:xfrm>
          <a:off x="5505450" y="4067176"/>
          <a:ext cx="971549" cy="438149"/>
        </a:xfrm>
        <a:prstGeom prst="flowChartAlternateProcess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100"/>
            <a:t>系统测试</a:t>
          </a:r>
          <a:endParaRPr lang="en-US" altLang="zh-CN" sz="1100"/>
        </a:p>
      </xdr:txBody>
    </xdr:sp>
    <xdr:clientData/>
  </xdr:twoCellAnchor>
  <xdr:twoCellAnchor>
    <xdr:from>
      <xdr:col>1</xdr:col>
      <xdr:colOff>361950</xdr:colOff>
      <xdr:row>5</xdr:row>
      <xdr:rowOff>28574</xdr:rowOff>
    </xdr:from>
    <xdr:to>
      <xdr:col>2</xdr:col>
      <xdr:colOff>180975</xdr:colOff>
      <xdr:row>7</xdr:row>
      <xdr:rowOff>104775</xdr:rowOff>
    </xdr:to>
    <xdr:cxnSp macro="">
      <xdr:nvCxnSpPr>
        <xdr:cNvPr id="10" name="形状 9"/>
        <xdr:cNvCxnSpPr>
          <a:stCxn id="2" idx="2"/>
          <a:endCxn id="3" idx="1"/>
        </xdr:cNvCxnSpPr>
      </xdr:nvCxnSpPr>
      <xdr:spPr>
        <a:xfrm rot="16200000" flipH="1">
          <a:off x="1090612" y="842962"/>
          <a:ext cx="419101" cy="504825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666750</xdr:colOff>
      <xdr:row>8</xdr:row>
      <xdr:rowOff>152400</xdr:rowOff>
    </xdr:from>
    <xdr:to>
      <xdr:col>3</xdr:col>
      <xdr:colOff>514350</xdr:colOff>
      <xdr:row>11</xdr:row>
      <xdr:rowOff>104776</xdr:rowOff>
    </xdr:to>
    <xdr:cxnSp macro="">
      <xdr:nvCxnSpPr>
        <xdr:cNvPr id="11" name="形状 10"/>
        <xdr:cNvCxnSpPr>
          <a:stCxn id="3" idx="2"/>
          <a:endCxn id="34" idx="1"/>
        </xdr:cNvCxnSpPr>
      </xdr:nvCxnSpPr>
      <xdr:spPr>
        <a:xfrm rot="16200000" flipH="1">
          <a:off x="2071687" y="1490663"/>
          <a:ext cx="466726" cy="53340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600074</xdr:colOff>
      <xdr:row>17</xdr:row>
      <xdr:rowOff>66675</xdr:rowOff>
    </xdr:from>
    <xdr:to>
      <xdr:col>6</xdr:col>
      <xdr:colOff>419099</xdr:colOff>
      <xdr:row>20</xdr:row>
      <xdr:rowOff>95251</xdr:rowOff>
    </xdr:to>
    <xdr:cxnSp macro="">
      <xdr:nvCxnSpPr>
        <xdr:cNvPr id="14" name="形状 13"/>
        <xdr:cNvCxnSpPr>
          <a:stCxn id="4" idx="2"/>
          <a:endCxn id="5" idx="1"/>
        </xdr:cNvCxnSpPr>
      </xdr:nvCxnSpPr>
      <xdr:spPr>
        <a:xfrm rot="16200000" flipH="1">
          <a:off x="4010024" y="3000375"/>
          <a:ext cx="542926" cy="504825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219074</xdr:colOff>
      <xdr:row>21</xdr:row>
      <xdr:rowOff>142875</xdr:rowOff>
    </xdr:from>
    <xdr:to>
      <xdr:col>8</xdr:col>
      <xdr:colOff>19049</xdr:colOff>
      <xdr:row>25</xdr:row>
      <xdr:rowOff>1</xdr:rowOff>
    </xdr:to>
    <xdr:cxnSp macro="">
      <xdr:nvCxnSpPr>
        <xdr:cNvPr id="17" name="形状 16"/>
        <xdr:cNvCxnSpPr>
          <a:stCxn id="5" idx="2"/>
          <a:endCxn id="6" idx="1"/>
        </xdr:cNvCxnSpPr>
      </xdr:nvCxnSpPr>
      <xdr:spPr>
        <a:xfrm rot="16200000" flipH="1">
          <a:off x="4991099" y="3771900"/>
          <a:ext cx="542926" cy="485775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400050</xdr:colOff>
      <xdr:row>16</xdr:row>
      <xdr:rowOff>19051</xdr:rowOff>
    </xdr:from>
    <xdr:to>
      <xdr:col>7</xdr:col>
      <xdr:colOff>219076</xdr:colOff>
      <xdr:row>19</xdr:row>
      <xdr:rowOff>47626</xdr:rowOff>
    </xdr:to>
    <xdr:cxnSp macro="">
      <xdr:nvCxnSpPr>
        <xdr:cNvPr id="27" name="形状 26"/>
        <xdr:cNvCxnSpPr>
          <a:stCxn id="5" idx="0"/>
          <a:endCxn id="4" idx="3"/>
        </xdr:cNvCxnSpPr>
      </xdr:nvCxnSpPr>
      <xdr:spPr>
        <a:xfrm rot="16200000" flipV="1">
          <a:off x="4495800" y="2781301"/>
          <a:ext cx="542925" cy="504826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10</xdr:row>
      <xdr:rowOff>57151</xdr:rowOff>
    </xdr:from>
    <xdr:to>
      <xdr:col>5</xdr:col>
      <xdr:colOff>114299</xdr:colOff>
      <xdr:row>12</xdr:row>
      <xdr:rowOff>152400</xdr:rowOff>
    </xdr:to>
    <xdr:sp macro="" textlink="">
      <xdr:nvSpPr>
        <xdr:cNvPr id="34" name="流程图: 可选过程 33"/>
        <xdr:cNvSpPr/>
      </xdr:nvSpPr>
      <xdr:spPr>
        <a:xfrm>
          <a:off x="2571750" y="1771651"/>
          <a:ext cx="971549" cy="438149"/>
        </a:xfrm>
        <a:prstGeom prst="flowChartAlternateProcess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100"/>
            <a:t>代码框架</a:t>
          </a:r>
          <a:endParaRPr lang="en-US" altLang="zh-CN" sz="1100"/>
        </a:p>
      </xdr:txBody>
    </xdr:sp>
    <xdr:clientData/>
  </xdr:twoCellAnchor>
  <xdr:twoCellAnchor>
    <xdr:from>
      <xdr:col>4</xdr:col>
      <xdr:colOff>314325</xdr:colOff>
      <xdr:row>12</xdr:row>
      <xdr:rowOff>152399</xdr:rowOff>
    </xdr:from>
    <xdr:to>
      <xdr:col>5</xdr:col>
      <xdr:colOff>114300</xdr:colOff>
      <xdr:row>16</xdr:row>
      <xdr:rowOff>19050</xdr:rowOff>
    </xdr:to>
    <xdr:cxnSp macro="">
      <xdr:nvCxnSpPr>
        <xdr:cNvPr id="36" name="形状 35"/>
        <xdr:cNvCxnSpPr>
          <a:stCxn id="34" idx="2"/>
          <a:endCxn id="4" idx="1"/>
        </xdr:cNvCxnSpPr>
      </xdr:nvCxnSpPr>
      <xdr:spPr>
        <a:xfrm rot="16200000" flipH="1">
          <a:off x="3024187" y="2243137"/>
          <a:ext cx="552451" cy="485775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</xdr:row>
      <xdr:rowOff>95250</xdr:rowOff>
    </xdr:from>
    <xdr:to>
      <xdr:col>5</xdr:col>
      <xdr:colOff>114300</xdr:colOff>
      <xdr:row>16</xdr:row>
      <xdr:rowOff>152401</xdr:rowOff>
    </xdr:to>
    <xdr:cxnSp macro="">
      <xdr:nvCxnSpPr>
        <xdr:cNvPr id="51" name="形状 50"/>
        <xdr:cNvCxnSpPr/>
      </xdr:nvCxnSpPr>
      <xdr:spPr>
        <a:xfrm>
          <a:off x="723900" y="952500"/>
          <a:ext cx="2819400" cy="1943101"/>
        </a:xfrm>
        <a:prstGeom prst="bentConnector3">
          <a:avLst>
            <a:gd name="adj1" fmla="val -338"/>
          </a:avLst>
        </a:prstGeom>
        <a:ln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</xdr:colOff>
      <xdr:row>27</xdr:row>
      <xdr:rowOff>38101</xdr:rowOff>
    </xdr:from>
    <xdr:to>
      <xdr:col>9</xdr:col>
      <xdr:colOff>314324</xdr:colOff>
      <xdr:row>29</xdr:row>
      <xdr:rowOff>133350</xdr:rowOff>
    </xdr:to>
    <xdr:sp macro="" textlink="">
      <xdr:nvSpPr>
        <xdr:cNvPr id="58" name="流程图: 可选过程 57"/>
        <xdr:cNvSpPr/>
      </xdr:nvSpPr>
      <xdr:spPr>
        <a:xfrm>
          <a:off x="5514975" y="4667251"/>
          <a:ext cx="971549" cy="438149"/>
        </a:xfrm>
        <a:prstGeom prst="flowChartAlternateProcess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zh-CN" altLang="en-US" sz="1100"/>
            <a:t>性能测试</a:t>
          </a:r>
          <a:endParaRPr lang="en-US" altLang="zh-CN" sz="1100"/>
        </a:p>
      </xdr:txBody>
    </xdr:sp>
    <xdr:clientData/>
  </xdr:twoCellAnchor>
  <xdr:twoCellAnchor>
    <xdr:from>
      <xdr:col>7</xdr:col>
      <xdr:colOff>219076</xdr:colOff>
      <xdr:row>21</xdr:row>
      <xdr:rowOff>142874</xdr:rowOff>
    </xdr:from>
    <xdr:to>
      <xdr:col>8</xdr:col>
      <xdr:colOff>28576</xdr:colOff>
      <xdr:row>28</xdr:row>
      <xdr:rowOff>85725</xdr:rowOff>
    </xdr:to>
    <xdr:cxnSp macro="">
      <xdr:nvCxnSpPr>
        <xdr:cNvPr id="59" name="形状 58"/>
        <xdr:cNvCxnSpPr>
          <a:stCxn id="5" idx="2"/>
          <a:endCxn id="58" idx="1"/>
        </xdr:cNvCxnSpPr>
      </xdr:nvCxnSpPr>
      <xdr:spPr>
        <a:xfrm rot="16200000" flipH="1">
          <a:off x="4695825" y="4067175"/>
          <a:ext cx="1143001" cy="49530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</xdr:row>
      <xdr:rowOff>152400</xdr:rowOff>
    </xdr:from>
    <xdr:to>
      <xdr:col>10</xdr:col>
      <xdr:colOff>504825</xdr:colOff>
      <xdr:row>15</xdr:row>
      <xdr:rowOff>133350</xdr:rowOff>
    </xdr:to>
    <xdr:sp macro="" textlink="">
      <xdr:nvSpPr>
        <xdr:cNvPr id="62" name="矩形标注 61"/>
        <xdr:cNvSpPr/>
      </xdr:nvSpPr>
      <xdr:spPr>
        <a:xfrm>
          <a:off x="5591175" y="1866900"/>
          <a:ext cx="1771650" cy="838200"/>
        </a:xfrm>
        <a:prstGeom prst="wedgeRectCallout">
          <a:avLst>
            <a:gd name="adj1" fmla="val -82123"/>
            <a:gd name="adj2" fmla="val 79545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marL="0" indent="0" algn="l"/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Jenkins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每天利用单元测试用例检验目前的编写的代码是否正确，不断迭代，直至实现所有功能</a:t>
          </a:r>
        </a:p>
      </xdr:txBody>
    </xdr:sp>
    <xdr:clientData/>
  </xdr:twoCellAnchor>
  <xdr:twoCellAnchor>
    <xdr:from>
      <xdr:col>1</xdr:col>
      <xdr:colOff>609600</xdr:colOff>
      <xdr:row>18</xdr:row>
      <xdr:rowOff>85725</xdr:rowOff>
    </xdr:from>
    <xdr:to>
      <xdr:col>4</xdr:col>
      <xdr:colOff>323850</xdr:colOff>
      <xdr:row>22</xdr:row>
      <xdr:rowOff>19050</xdr:rowOff>
    </xdr:to>
    <xdr:sp macro="" textlink="">
      <xdr:nvSpPr>
        <xdr:cNvPr id="63" name="矩形标注 62"/>
        <xdr:cNvSpPr/>
      </xdr:nvSpPr>
      <xdr:spPr>
        <a:xfrm>
          <a:off x="1295400" y="3171825"/>
          <a:ext cx="1771650" cy="619125"/>
        </a:xfrm>
        <a:prstGeom prst="wedgeRectCallout">
          <a:avLst>
            <a:gd name="adj1" fmla="val 50135"/>
            <a:gd name="adj2" fmla="val -91049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marL="0" indent="0" algn="l"/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以设计生成的代码框架为基础编写的用例，保证覆盖所有需求</a:t>
          </a:r>
        </a:p>
      </xdr:txBody>
    </xdr:sp>
    <xdr:clientData/>
  </xdr:twoCellAnchor>
  <xdr:twoCellAnchor>
    <xdr:from>
      <xdr:col>5</xdr:col>
      <xdr:colOff>114299</xdr:colOff>
      <xdr:row>11</xdr:row>
      <xdr:rowOff>104776</xdr:rowOff>
    </xdr:from>
    <xdr:to>
      <xdr:col>5</xdr:col>
      <xdr:colOff>600075</xdr:colOff>
      <xdr:row>14</xdr:row>
      <xdr:rowOff>142876</xdr:rowOff>
    </xdr:to>
    <xdr:cxnSp macro="">
      <xdr:nvCxnSpPr>
        <xdr:cNvPr id="64" name="形状 63"/>
        <xdr:cNvCxnSpPr>
          <a:stCxn id="4" idx="0"/>
          <a:endCxn id="34" idx="3"/>
        </xdr:cNvCxnSpPr>
      </xdr:nvCxnSpPr>
      <xdr:spPr>
        <a:xfrm rot="16200000" flipV="1">
          <a:off x="3509962" y="2024063"/>
          <a:ext cx="552450" cy="485776"/>
        </a:xfrm>
        <a:prstGeom prst="bentConnector2">
          <a:avLst/>
        </a:prstGeom>
        <a:ln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5</xdr:row>
      <xdr:rowOff>19050</xdr:rowOff>
    </xdr:from>
    <xdr:to>
      <xdr:col>8</xdr:col>
      <xdr:colOff>542925</xdr:colOff>
      <xdr:row>10</xdr:row>
      <xdr:rowOff>0</xdr:rowOff>
    </xdr:to>
    <xdr:sp macro="" textlink="">
      <xdr:nvSpPr>
        <xdr:cNvPr id="67" name="矩形标注 66"/>
        <xdr:cNvSpPr/>
      </xdr:nvSpPr>
      <xdr:spPr>
        <a:xfrm>
          <a:off x="4257675" y="876300"/>
          <a:ext cx="1771650" cy="838200"/>
        </a:xfrm>
        <a:prstGeom prst="wedgeRectCallout">
          <a:avLst>
            <a:gd name="adj1" fmla="val -62231"/>
            <a:gd name="adj2" fmla="val 9659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marL="0" indent="0" algn="l"/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如果利用生成的代码框架不能覆盖所有的需求，说明设计不够详细，需要继续细化设计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82" t="s">
        <v>0</v>
      </c>
      <c r="D6" s="83"/>
      <c r="E6" s="84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79" t="s">
        <v>9</v>
      </c>
      <c r="D17" s="80"/>
      <c r="E17" s="81"/>
    </row>
    <row r="18" spans="3:5">
      <c r="C18" s="7"/>
      <c r="D18" s="2"/>
      <c r="E18" s="8"/>
    </row>
    <row r="19" spans="3:5">
      <c r="C19" s="79" t="s">
        <v>10</v>
      </c>
      <c r="D19" s="80"/>
      <c r="E19" s="81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79" t="s">
        <v>17</v>
      </c>
      <c r="D27" s="80"/>
      <c r="E27" s="81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V300"/>
  <sheetViews>
    <sheetView tabSelected="1" workbookViewId="0">
      <pane xSplit="4" ySplit="2" topLeftCell="E6" activePane="bottomRight" state="frozen"/>
      <selection pane="topRight" activeCell="E1" sqref="E1"/>
      <selection pane="bottomLeft" activeCell="A3" sqref="A3"/>
      <selection pane="bottomRight" activeCell="O35" sqref="O35"/>
    </sheetView>
  </sheetViews>
  <sheetFormatPr defaultColWidth="8.875" defaultRowHeight="13.5"/>
  <cols>
    <col min="1" max="1" width="36" style="24" customWidth="1"/>
    <col min="2" max="2" width="5.5" style="24" customWidth="1"/>
    <col min="3" max="4" width="9.5" style="25" bestFit="1" customWidth="1"/>
    <col min="5" max="256" width="1.625" style="24" customWidth="1"/>
    <col min="257" max="16384" width="8.875" style="24"/>
  </cols>
  <sheetData>
    <row r="1" spans="1:256">
      <c r="E1" s="87" t="s">
        <v>128</v>
      </c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5" t="s">
        <v>129</v>
      </c>
      <c r="BF1" s="85"/>
      <c r="BG1" s="85"/>
      <c r="BH1" s="8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102" customFormat="1">
      <c r="C2" s="103"/>
      <c r="D2" s="103"/>
      <c r="E2" s="99">
        <v>6</v>
      </c>
      <c r="F2" s="100"/>
      <c r="G2" s="100">
        <v>7</v>
      </c>
      <c r="H2" s="100"/>
      <c r="I2" s="100">
        <v>8</v>
      </c>
      <c r="J2" s="100"/>
      <c r="K2" s="100">
        <v>9</v>
      </c>
      <c r="L2" s="100"/>
      <c r="M2" s="100">
        <v>10</v>
      </c>
      <c r="N2" s="100"/>
      <c r="O2" s="100">
        <v>11</v>
      </c>
      <c r="P2" s="100"/>
      <c r="Q2" s="100">
        <v>12</v>
      </c>
      <c r="R2" s="100"/>
      <c r="S2" s="100">
        <v>13</v>
      </c>
      <c r="T2" s="100"/>
      <c r="U2" s="100">
        <v>14</v>
      </c>
      <c r="V2" s="100"/>
      <c r="W2" s="100">
        <v>15</v>
      </c>
      <c r="X2" s="100"/>
      <c r="Y2" s="100">
        <v>16</v>
      </c>
      <c r="Z2" s="100"/>
      <c r="AA2" s="100">
        <v>17</v>
      </c>
      <c r="AB2" s="100"/>
      <c r="AC2" s="100">
        <v>18</v>
      </c>
      <c r="AD2" s="100"/>
      <c r="AE2" s="100">
        <v>19</v>
      </c>
      <c r="AF2" s="100"/>
      <c r="AG2" s="100">
        <v>20</v>
      </c>
      <c r="AH2" s="100"/>
      <c r="AI2" s="100">
        <v>21</v>
      </c>
      <c r="AJ2" s="100"/>
      <c r="AK2" s="100">
        <v>22</v>
      </c>
      <c r="AL2" s="100"/>
      <c r="AM2" s="100">
        <v>23</v>
      </c>
      <c r="AN2" s="100"/>
      <c r="AO2" s="100">
        <v>24</v>
      </c>
      <c r="AP2" s="100"/>
      <c r="AQ2" s="100">
        <v>25</v>
      </c>
      <c r="AR2" s="100"/>
      <c r="AS2" s="100">
        <v>26</v>
      </c>
      <c r="AT2" s="100"/>
      <c r="AU2" s="100">
        <v>27</v>
      </c>
      <c r="AV2" s="100"/>
      <c r="AW2" s="100">
        <v>28</v>
      </c>
      <c r="AX2" s="100"/>
      <c r="AY2" s="100">
        <v>29</v>
      </c>
      <c r="AZ2" s="100"/>
      <c r="BA2" s="100">
        <v>30</v>
      </c>
      <c r="BB2" s="100"/>
      <c r="BC2" s="100">
        <v>31</v>
      </c>
      <c r="BD2" s="100"/>
      <c r="BE2" s="100">
        <v>1</v>
      </c>
      <c r="BF2" s="100"/>
      <c r="BG2" s="100">
        <v>2</v>
      </c>
      <c r="BH2" s="101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04"/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04"/>
      <c r="GH2" s="104"/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  <c r="GY2" s="104"/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04"/>
      <c r="HP2" s="104"/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04"/>
      <c r="IG2" s="104"/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</row>
    <row r="3" spans="1:256">
      <c r="A3" s="63" t="s">
        <v>79</v>
      </c>
      <c r="B3" s="64"/>
      <c r="E3" s="41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44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76</v>
      </c>
      <c r="B4" s="14">
        <v>2</v>
      </c>
      <c r="C4" s="25">
        <v>41495</v>
      </c>
      <c r="D4" s="25">
        <v>41498.5</v>
      </c>
      <c r="E4" s="41"/>
      <c r="F4" s="26"/>
      <c r="G4" s="26"/>
      <c r="H4" s="26"/>
      <c r="I4" s="26"/>
      <c r="J4" s="26"/>
      <c r="K4" s="49"/>
      <c r="L4" s="49"/>
      <c r="M4" s="49"/>
      <c r="N4" s="49"/>
      <c r="O4" s="49"/>
      <c r="P4" s="49"/>
      <c r="Q4" s="49"/>
      <c r="R4" s="49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44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100</v>
      </c>
      <c r="B5" s="14">
        <v>3</v>
      </c>
      <c r="C5" s="25">
        <v>41495</v>
      </c>
      <c r="D5" s="25">
        <v>41500.5</v>
      </c>
      <c r="E5" s="41"/>
      <c r="F5" s="26"/>
      <c r="G5" s="26"/>
      <c r="H5" s="26"/>
      <c r="I5" s="26"/>
      <c r="J5" s="26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44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70" t="s">
        <v>96</v>
      </c>
      <c r="B6" s="14">
        <v>1.1000000000000001</v>
      </c>
      <c r="C6" s="25">
        <v>41497</v>
      </c>
      <c r="D6" s="25">
        <v>41497.5</v>
      </c>
      <c r="E6" s="41"/>
      <c r="F6" s="26"/>
      <c r="G6" s="26"/>
      <c r="H6" s="26"/>
      <c r="I6" s="26"/>
      <c r="J6" s="26"/>
      <c r="K6" s="26"/>
      <c r="L6" s="26"/>
      <c r="M6" s="26"/>
      <c r="N6" s="26"/>
      <c r="O6" s="48"/>
      <c r="P6" s="48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44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70" t="s">
        <v>102</v>
      </c>
      <c r="B7" s="14">
        <v>1</v>
      </c>
      <c r="C7" s="25">
        <v>41501</v>
      </c>
      <c r="D7" s="25">
        <v>41501.5</v>
      </c>
      <c r="E7" s="41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49"/>
      <c r="X7" s="49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44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70" t="s">
        <v>96</v>
      </c>
      <c r="B8" s="14">
        <v>1.1000000000000001</v>
      </c>
      <c r="C8" s="25">
        <v>41500</v>
      </c>
      <c r="D8" s="25">
        <v>41500.5</v>
      </c>
      <c r="E8" s="41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48"/>
      <c r="V8" s="48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44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70" t="s">
        <v>103</v>
      </c>
      <c r="B9" s="14">
        <v>1</v>
      </c>
      <c r="C9" s="25">
        <v>41502</v>
      </c>
      <c r="D9" s="25">
        <v>41502.5</v>
      </c>
      <c r="E9" s="41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49"/>
      <c r="Z9" s="49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44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70" t="s">
        <v>96</v>
      </c>
      <c r="B10" s="14">
        <v>1.1000000000000001</v>
      </c>
      <c r="C10" s="25">
        <v>41503</v>
      </c>
      <c r="D10" s="25">
        <v>41504.5</v>
      </c>
      <c r="E10" s="41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76"/>
      <c r="AB10" s="76"/>
      <c r="AC10" s="76"/>
      <c r="AD10" s="4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44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70" t="s">
        <v>104</v>
      </c>
      <c r="B11" s="14">
        <v>1</v>
      </c>
      <c r="C11" s="25">
        <v>41505</v>
      </c>
      <c r="D11" s="25">
        <v>41505.5</v>
      </c>
      <c r="E11" s="41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49"/>
      <c r="AF11" s="49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44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70" t="s">
        <v>96</v>
      </c>
      <c r="B12" s="14">
        <v>1.1000000000000001</v>
      </c>
      <c r="C12" s="25">
        <v>41506.5</v>
      </c>
      <c r="D12" s="25">
        <v>41507</v>
      </c>
      <c r="E12" s="41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46"/>
      <c r="AI12" s="4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44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105</v>
      </c>
      <c r="B13" s="14">
        <v>3</v>
      </c>
      <c r="C13" s="25">
        <v>41507.5</v>
      </c>
      <c r="D13" s="25">
        <v>41510</v>
      </c>
      <c r="E13" s="41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49"/>
      <c r="AK13" s="49"/>
      <c r="AL13" s="49"/>
      <c r="AM13" s="49"/>
      <c r="AN13" s="49"/>
      <c r="AO13" s="49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44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71" t="s">
        <v>98</v>
      </c>
      <c r="B14" s="14">
        <v>1.1000000000000001</v>
      </c>
      <c r="C14" s="25">
        <v>41511</v>
      </c>
      <c r="D14" s="25">
        <v>41511.5</v>
      </c>
      <c r="E14" s="41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48"/>
      <c r="AR14" s="4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44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13" t="s">
        <v>108</v>
      </c>
      <c r="B15" s="14">
        <v>1</v>
      </c>
      <c r="C15" s="25">
        <v>41512</v>
      </c>
      <c r="D15" s="25">
        <v>41512.5</v>
      </c>
      <c r="E15" s="41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9"/>
      <c r="AT15" s="49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44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71" t="s">
        <v>98</v>
      </c>
      <c r="B16" s="14">
        <v>1.1000000000000001</v>
      </c>
      <c r="C16" s="25">
        <v>41513.5</v>
      </c>
      <c r="D16" s="25">
        <v>41514</v>
      </c>
      <c r="E16" s="41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46"/>
      <c r="AW16" s="4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44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13" t="s">
        <v>110</v>
      </c>
      <c r="B17" s="14">
        <v>1</v>
      </c>
      <c r="C17" s="25">
        <v>41514.5</v>
      </c>
      <c r="D17" s="25">
        <v>41515</v>
      </c>
      <c r="E17" s="41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49"/>
      <c r="AY17" s="49"/>
      <c r="AZ17" s="26"/>
      <c r="BA17" s="26"/>
      <c r="BB17" s="26"/>
      <c r="BC17" s="26"/>
      <c r="BD17" s="26"/>
      <c r="BE17" s="26"/>
      <c r="BF17" s="26"/>
      <c r="BG17" s="26"/>
      <c r="BH17" s="44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71" t="s">
        <v>98</v>
      </c>
      <c r="B18" s="14">
        <v>1.1000000000000001</v>
      </c>
      <c r="C18" s="25">
        <v>41516</v>
      </c>
      <c r="D18" s="25">
        <v>41516.5</v>
      </c>
      <c r="E18" s="41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46"/>
      <c r="BB18" s="46"/>
      <c r="BC18" s="26"/>
      <c r="BD18" s="26"/>
      <c r="BE18" s="26"/>
      <c r="BF18" s="26"/>
      <c r="BG18" s="26"/>
      <c r="BH18" s="44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13" t="s">
        <v>112</v>
      </c>
      <c r="B19" s="14">
        <v>1</v>
      </c>
      <c r="C19" s="25">
        <v>41517</v>
      </c>
      <c r="D19" s="25">
        <v>41517.5</v>
      </c>
      <c r="E19" s="41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49"/>
      <c r="BD19" s="49"/>
      <c r="BE19" s="26"/>
      <c r="BF19" s="26"/>
      <c r="BG19" s="26"/>
      <c r="BH19" s="44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71" t="s">
        <v>98</v>
      </c>
      <c r="B20" s="14">
        <v>1.1000000000000001</v>
      </c>
      <c r="C20" s="25">
        <v>41518.5</v>
      </c>
      <c r="D20" s="25">
        <v>41519</v>
      </c>
      <c r="E20" s="41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46"/>
      <c r="BG20" s="46"/>
      <c r="BH20" s="44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66" t="s">
        <v>84</v>
      </c>
      <c r="B21" s="14">
        <v>0.8</v>
      </c>
      <c r="C21" s="25">
        <v>41492</v>
      </c>
      <c r="D21" s="25">
        <v>41494.5</v>
      </c>
      <c r="E21" s="74"/>
      <c r="F21" s="49"/>
      <c r="G21" s="49"/>
      <c r="H21" s="49"/>
      <c r="I21" s="49"/>
      <c r="J21" s="49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44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66" t="s">
        <v>85</v>
      </c>
      <c r="B22" s="14">
        <v>0.4</v>
      </c>
      <c r="C22" s="25">
        <v>41492</v>
      </c>
      <c r="D22" s="25">
        <v>41494</v>
      </c>
      <c r="E22" s="74"/>
      <c r="F22" s="49"/>
      <c r="G22" s="49"/>
      <c r="H22" s="49"/>
      <c r="I22" s="49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44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67"/>
      <c r="B23" s="14"/>
      <c r="E23" s="41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44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63" t="s">
        <v>80</v>
      </c>
      <c r="B24" s="64"/>
      <c r="E24" s="41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44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68" t="s">
        <v>87</v>
      </c>
      <c r="B25" s="14">
        <v>2</v>
      </c>
      <c r="C25" s="25">
        <v>41492</v>
      </c>
      <c r="D25" s="25">
        <v>41495.5</v>
      </c>
      <c r="E25" s="50"/>
      <c r="F25" s="47"/>
      <c r="G25" s="47"/>
      <c r="H25" s="47"/>
      <c r="I25" s="47"/>
      <c r="J25" s="47"/>
      <c r="K25" s="47"/>
      <c r="L25" s="47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44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70" t="s">
        <v>97</v>
      </c>
      <c r="B26" s="14">
        <v>1.1000000000000001</v>
      </c>
      <c r="C26" s="25">
        <v>41496</v>
      </c>
      <c r="D26" s="25">
        <v>41496.5</v>
      </c>
      <c r="E26" s="41"/>
      <c r="F26" s="26"/>
      <c r="G26" s="26"/>
      <c r="H26" s="26"/>
      <c r="I26" s="26"/>
      <c r="J26" s="26"/>
      <c r="K26" s="26"/>
      <c r="L26" s="26"/>
      <c r="M26" s="48"/>
      <c r="N26" s="48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44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68" t="s">
        <v>88</v>
      </c>
      <c r="B27" s="14">
        <v>1</v>
      </c>
      <c r="C27" s="25">
        <v>41498</v>
      </c>
      <c r="D27" s="25">
        <v>41498.5</v>
      </c>
      <c r="E27" s="41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47"/>
      <c r="R27" s="47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44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70" t="s">
        <v>97</v>
      </c>
      <c r="B28" s="14">
        <v>1.1000000000000001</v>
      </c>
      <c r="C28" s="25">
        <v>41498</v>
      </c>
      <c r="D28" s="25">
        <v>41499.5</v>
      </c>
      <c r="E28" s="41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76"/>
      <c r="R28" s="76"/>
      <c r="S28" s="48"/>
      <c r="T28" s="48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44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>
      <c r="A29" s="68" t="s">
        <v>89</v>
      </c>
      <c r="B29" s="14">
        <v>1</v>
      </c>
      <c r="C29" s="25">
        <v>41501</v>
      </c>
      <c r="D29" s="25">
        <v>41501.5</v>
      </c>
      <c r="E29" s="41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47"/>
      <c r="X29" s="47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44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>
      <c r="A30" s="70" t="s">
        <v>97</v>
      </c>
      <c r="B30" s="14">
        <v>1.1000000000000001</v>
      </c>
      <c r="C30" s="25">
        <v>41501</v>
      </c>
      <c r="D30" s="25">
        <v>41502.5</v>
      </c>
      <c r="E30" s="41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76"/>
      <c r="X30" s="76"/>
      <c r="Y30" s="48"/>
      <c r="Z30" s="48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44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68" t="s">
        <v>91</v>
      </c>
      <c r="B31" s="14">
        <v>1</v>
      </c>
      <c r="C31" s="25">
        <v>41505</v>
      </c>
      <c r="D31" s="25">
        <v>41505.5</v>
      </c>
      <c r="E31" s="41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47"/>
      <c r="AF31" s="47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44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70" t="s">
        <v>97</v>
      </c>
      <c r="B32" s="14">
        <v>1.1000000000000001</v>
      </c>
      <c r="C32" s="25">
        <v>41505</v>
      </c>
      <c r="D32" s="25">
        <v>41506</v>
      </c>
      <c r="E32" s="41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76"/>
      <c r="AF32" s="76"/>
      <c r="AG32" s="4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44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68" t="s">
        <v>92</v>
      </c>
      <c r="B33" s="14">
        <v>4</v>
      </c>
      <c r="C33" s="25">
        <v>41507.5</v>
      </c>
      <c r="D33" s="25">
        <v>41511</v>
      </c>
      <c r="E33" s="41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47"/>
      <c r="AK33" s="47"/>
      <c r="AL33" s="47"/>
      <c r="AM33" s="47"/>
      <c r="AN33" s="47"/>
      <c r="AO33" s="47"/>
      <c r="AP33" s="47"/>
      <c r="AQ33" s="47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44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70" t="s">
        <v>99</v>
      </c>
      <c r="B34" s="14">
        <v>1.1000000000000001</v>
      </c>
      <c r="C34" s="25">
        <v>41507.5</v>
      </c>
      <c r="D34" s="25">
        <v>41510.5</v>
      </c>
      <c r="E34" s="41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76"/>
      <c r="AK34" s="76"/>
      <c r="AL34" s="76"/>
      <c r="AM34" s="76"/>
      <c r="AN34" s="76"/>
      <c r="AO34" s="76"/>
      <c r="AP34" s="48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44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68" t="s">
        <v>93</v>
      </c>
      <c r="B35" s="14">
        <v>1</v>
      </c>
      <c r="C35" s="25">
        <v>41512</v>
      </c>
      <c r="D35" s="25">
        <v>41512.5</v>
      </c>
      <c r="E35" s="41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7"/>
      <c r="AT35" s="47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44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70" t="s">
        <v>99</v>
      </c>
      <c r="B36" s="14">
        <v>1.1000000000000001</v>
      </c>
      <c r="C36" s="25">
        <v>41512</v>
      </c>
      <c r="D36" s="25">
        <v>41513</v>
      </c>
      <c r="E36" s="41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76"/>
      <c r="AT36" s="76"/>
      <c r="AU36" s="4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44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68" t="s">
        <v>94</v>
      </c>
      <c r="B37" s="14">
        <v>1</v>
      </c>
      <c r="C37" s="25">
        <v>41514.5</v>
      </c>
      <c r="D37" s="25">
        <v>41515</v>
      </c>
      <c r="E37" s="41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47"/>
      <c r="AY37" s="47"/>
      <c r="AZ37" s="26"/>
      <c r="BA37" s="26"/>
      <c r="BB37" s="26"/>
      <c r="BC37" s="26"/>
      <c r="BD37" s="26"/>
      <c r="BE37" s="26"/>
      <c r="BF37" s="26"/>
      <c r="BG37" s="26"/>
      <c r="BH37" s="44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70" t="s">
        <v>99</v>
      </c>
      <c r="B38" s="14">
        <v>1.1000000000000001</v>
      </c>
      <c r="C38" s="25">
        <v>41514.5</v>
      </c>
      <c r="D38" s="25">
        <v>41515.5</v>
      </c>
      <c r="E38" s="41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76"/>
      <c r="AY38" s="76"/>
      <c r="AZ38" s="46"/>
      <c r="BA38" s="26"/>
      <c r="BB38" s="26"/>
      <c r="BC38" s="26"/>
      <c r="BD38" s="26"/>
      <c r="BE38" s="26"/>
      <c r="BF38" s="26"/>
      <c r="BG38" s="26"/>
      <c r="BH38" s="44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68" t="s">
        <v>95</v>
      </c>
      <c r="B39" s="14">
        <v>1</v>
      </c>
      <c r="C39" s="25">
        <v>41517</v>
      </c>
      <c r="D39" s="25">
        <v>41517.5</v>
      </c>
      <c r="E39" s="41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47"/>
      <c r="BD39" s="47"/>
      <c r="BE39" s="26"/>
      <c r="BF39" s="26"/>
      <c r="BG39" s="26"/>
      <c r="BH39" s="44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70" t="s">
        <v>99</v>
      </c>
      <c r="B40" s="14">
        <v>1.1000000000000001</v>
      </c>
      <c r="C40" s="25">
        <v>41517</v>
      </c>
      <c r="D40" s="25">
        <v>41518</v>
      </c>
      <c r="E40" s="41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76"/>
      <c r="BD40" s="76"/>
      <c r="BE40" s="46"/>
      <c r="BF40" s="26"/>
      <c r="BG40" s="26"/>
      <c r="BH40" s="44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69"/>
      <c r="B41" s="14"/>
      <c r="E41" s="41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44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63" t="s">
        <v>83</v>
      </c>
      <c r="B42" s="64"/>
      <c r="E42" s="41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44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66" t="s">
        <v>81</v>
      </c>
      <c r="B43" s="14">
        <v>3</v>
      </c>
      <c r="C43" s="25">
        <v>41492</v>
      </c>
      <c r="D43" s="25">
        <v>41494.5</v>
      </c>
      <c r="E43" s="51"/>
      <c r="F43" s="48"/>
      <c r="G43" s="48"/>
      <c r="H43" s="48"/>
      <c r="I43" s="48"/>
      <c r="J43" s="48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44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66" t="s">
        <v>86</v>
      </c>
      <c r="B44" s="14">
        <v>3</v>
      </c>
      <c r="C44" s="25">
        <v>41503</v>
      </c>
      <c r="D44" s="25">
        <v>41504</v>
      </c>
      <c r="E44" s="41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48"/>
      <c r="AB44" s="48"/>
      <c r="AC44" s="48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44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4.25">
      <c r="A45" s="65" t="s">
        <v>131</v>
      </c>
      <c r="B45" s="14">
        <v>4</v>
      </c>
      <c r="C45" s="25">
        <v>41492</v>
      </c>
      <c r="D45" s="25">
        <v>41495.5</v>
      </c>
      <c r="E45" s="77"/>
      <c r="F45" s="76"/>
      <c r="G45" s="76"/>
      <c r="H45" s="76"/>
      <c r="I45" s="76"/>
      <c r="J45" s="76"/>
      <c r="K45" s="76"/>
      <c r="L45" s="7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44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4.25">
      <c r="A46" s="65" t="s">
        <v>131</v>
      </c>
      <c r="B46" s="14">
        <v>18</v>
      </c>
      <c r="C46" s="25">
        <v>41496</v>
      </c>
      <c r="D46" s="25">
        <v>41518.5</v>
      </c>
      <c r="E46" s="41"/>
      <c r="F46" s="26"/>
      <c r="G46" s="26"/>
      <c r="H46" s="26"/>
      <c r="I46" s="26"/>
      <c r="J46" s="26"/>
      <c r="K46" s="26"/>
      <c r="L46" s="2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  <c r="BF46" s="76"/>
      <c r="BG46" s="26"/>
      <c r="BH46" s="44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28"/>
      <c r="B47" s="14"/>
      <c r="E47" s="42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5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1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29"/>
      <c r="B49" s="18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9"/>
      <c r="B50" s="18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1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9"/>
      <c r="B53" s="18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29"/>
      <c r="B54" s="18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9"/>
      <c r="B55" s="18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15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28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28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8"/>
      <c r="B60" s="14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A61" s="28"/>
      <c r="B61" s="14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A62" s="15"/>
      <c r="B62" s="14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A63" s="19"/>
      <c r="B63" s="14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A64" s="28"/>
      <c r="B64" s="14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>
      <c r="A65" s="28"/>
      <c r="B65" s="14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>
      <c r="A66" s="28"/>
      <c r="B66" s="14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>
      <c r="A67" s="28"/>
      <c r="B67" s="14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>
      <c r="A68" s="28"/>
      <c r="B68" s="14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>
      <c r="A69" s="28"/>
      <c r="B69" s="14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>
      <c r="A70" s="17"/>
      <c r="B70" s="14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>
      <c r="A71" s="28"/>
      <c r="B71" s="14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>
      <c r="A72" s="28"/>
      <c r="B72" s="14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>
      <c r="A73" s="28"/>
      <c r="B73" s="14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>
      <c r="A74" s="17"/>
      <c r="B74" s="14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>
      <c r="A75" s="16"/>
      <c r="B75" s="14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>
      <c r="A76" s="27"/>
      <c r="B76" s="18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</sheetData>
  <mergeCells count="30">
    <mergeCell ref="BE1:BH1"/>
    <mergeCell ref="BC2:BD2"/>
    <mergeCell ref="BE2:BF2"/>
    <mergeCell ref="BG2:BH2"/>
    <mergeCell ref="E1:BD1"/>
    <mergeCell ref="AS2:AT2"/>
    <mergeCell ref="AU2:AV2"/>
    <mergeCell ref="AW2:AX2"/>
    <mergeCell ref="AY2:AZ2"/>
    <mergeCell ref="BA2:BB2"/>
    <mergeCell ref="AI2:AJ2"/>
    <mergeCell ref="AK2:AL2"/>
    <mergeCell ref="AM2:AN2"/>
    <mergeCell ref="AO2:AP2"/>
    <mergeCell ref="AQ2:AR2"/>
    <mergeCell ref="Y2:Z2"/>
    <mergeCell ref="AA2:AB2"/>
    <mergeCell ref="AC2:AD2"/>
    <mergeCell ref="AE2:AF2"/>
    <mergeCell ref="AG2:AH2"/>
    <mergeCell ref="O2:P2"/>
    <mergeCell ref="Q2:R2"/>
    <mergeCell ref="S2:T2"/>
    <mergeCell ref="U2:V2"/>
    <mergeCell ref="W2:X2"/>
    <mergeCell ref="E2:F2"/>
    <mergeCell ref="G2:H2"/>
    <mergeCell ref="I2:J2"/>
    <mergeCell ref="K2:L2"/>
    <mergeCell ref="M2:N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46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26" sqref="G26"/>
    </sheetView>
  </sheetViews>
  <sheetFormatPr defaultColWidth="8.875" defaultRowHeight="13.5"/>
  <cols>
    <col min="1" max="1" width="9.5" style="23" bestFit="1" customWidth="1"/>
    <col min="2" max="2" width="30.375" style="23" bestFit="1" customWidth="1"/>
    <col min="3" max="3" width="5.5" style="33" bestFit="1" customWidth="1"/>
    <col min="4" max="4" width="8.875" style="23"/>
    <col min="5" max="12" width="8.875" style="30"/>
    <col min="13" max="16384" width="8.875" style="23"/>
  </cols>
  <sheetData>
    <row r="1" spans="1:7">
      <c r="A1" s="23" t="s">
        <v>26</v>
      </c>
      <c r="D1" s="78" t="s">
        <v>27</v>
      </c>
      <c r="E1" s="72" t="s">
        <v>124</v>
      </c>
      <c r="F1" s="73" t="s">
        <v>125</v>
      </c>
      <c r="G1" s="75" t="s">
        <v>127</v>
      </c>
    </row>
    <row r="2" spans="1:7">
      <c r="B2" s="23" t="s">
        <v>29</v>
      </c>
      <c r="D2" s="97"/>
      <c r="E2" s="98"/>
      <c r="F2" s="98"/>
      <c r="G2" s="98"/>
    </row>
    <row r="3" spans="1:7">
      <c r="B3" s="23" t="s">
        <v>113</v>
      </c>
      <c r="D3" s="97"/>
      <c r="E3" s="98"/>
      <c r="F3" s="98"/>
      <c r="G3" s="98"/>
    </row>
    <row r="4" spans="1:7">
      <c r="A4" s="23">
        <v>2</v>
      </c>
      <c r="B4" s="23" t="s">
        <v>75</v>
      </c>
      <c r="C4" s="33">
        <v>2</v>
      </c>
      <c r="D4" s="97">
        <f t="shared" ref="D4:D22" si="0">SUM(E4:H4)</f>
        <v>0.5</v>
      </c>
      <c r="E4" s="98">
        <v>0.5</v>
      </c>
      <c r="F4" s="98"/>
      <c r="G4" s="98"/>
    </row>
    <row r="5" spans="1:7">
      <c r="A5" s="23">
        <v>3</v>
      </c>
      <c r="B5" s="23" t="s">
        <v>101</v>
      </c>
      <c r="C5" s="33">
        <v>3</v>
      </c>
      <c r="D5" s="97">
        <f t="shared" si="0"/>
        <v>0.5</v>
      </c>
      <c r="E5" s="98">
        <v>0.5</v>
      </c>
      <c r="F5" s="98"/>
      <c r="G5" s="98"/>
    </row>
    <row r="6" spans="1:7">
      <c r="A6" s="23">
        <v>4</v>
      </c>
      <c r="B6" s="23" t="s">
        <v>96</v>
      </c>
      <c r="C6" s="33">
        <v>0.8</v>
      </c>
      <c r="D6" s="97">
        <f t="shared" si="0"/>
        <v>2.2000000000000002</v>
      </c>
      <c r="E6" s="98">
        <v>1</v>
      </c>
      <c r="F6" s="98">
        <v>1</v>
      </c>
      <c r="G6" s="98">
        <v>0.2</v>
      </c>
    </row>
    <row r="7" spans="1:7">
      <c r="A7" s="23">
        <v>5</v>
      </c>
      <c r="B7" s="23" t="s">
        <v>102</v>
      </c>
      <c r="C7" s="33">
        <v>2</v>
      </c>
      <c r="D7" s="97">
        <f t="shared" si="0"/>
        <v>1</v>
      </c>
      <c r="E7" s="98">
        <v>1</v>
      </c>
      <c r="F7" s="98"/>
      <c r="G7" s="98"/>
    </row>
    <row r="8" spans="1:7">
      <c r="A8" s="23">
        <v>6</v>
      </c>
      <c r="B8" s="23" t="s">
        <v>96</v>
      </c>
      <c r="C8" s="33">
        <v>0.8</v>
      </c>
      <c r="D8" s="97">
        <f t="shared" si="0"/>
        <v>2.2000000000000002</v>
      </c>
      <c r="E8" s="98">
        <v>1</v>
      </c>
      <c r="F8" s="98">
        <v>1</v>
      </c>
      <c r="G8" s="98">
        <v>0.2</v>
      </c>
    </row>
    <row r="9" spans="1:7">
      <c r="A9" s="23">
        <v>7</v>
      </c>
      <c r="B9" s="23" t="s">
        <v>103</v>
      </c>
      <c r="C9" s="33">
        <v>1</v>
      </c>
      <c r="D9" s="97">
        <f t="shared" si="0"/>
        <v>1</v>
      </c>
      <c r="E9" s="98">
        <v>1</v>
      </c>
      <c r="F9" s="98"/>
      <c r="G9" s="98"/>
    </row>
    <row r="10" spans="1:7">
      <c r="A10" s="23">
        <v>8</v>
      </c>
      <c r="B10" s="23" t="s">
        <v>96</v>
      </c>
      <c r="C10" s="33">
        <v>1.2</v>
      </c>
      <c r="D10" s="97">
        <f t="shared" si="0"/>
        <v>2.2000000000000002</v>
      </c>
      <c r="E10" s="98">
        <v>1</v>
      </c>
      <c r="F10" s="98">
        <v>1</v>
      </c>
      <c r="G10" s="98">
        <v>0.2</v>
      </c>
    </row>
    <row r="11" spans="1:7">
      <c r="A11" s="23">
        <v>9</v>
      </c>
      <c r="B11" s="23" t="s">
        <v>104</v>
      </c>
      <c r="C11" s="33">
        <v>1</v>
      </c>
      <c r="D11" s="97">
        <f t="shared" si="0"/>
        <v>1</v>
      </c>
      <c r="E11" s="98">
        <v>1</v>
      </c>
      <c r="F11" s="98"/>
      <c r="G11" s="98"/>
    </row>
    <row r="12" spans="1:7">
      <c r="A12" s="23">
        <v>10</v>
      </c>
      <c r="B12" s="23" t="s">
        <v>96</v>
      </c>
      <c r="C12" s="33">
        <v>1.2</v>
      </c>
      <c r="D12" s="97">
        <f t="shared" si="0"/>
        <v>2.2000000000000002</v>
      </c>
      <c r="E12" s="98">
        <v>1</v>
      </c>
      <c r="F12" s="98">
        <v>1</v>
      </c>
      <c r="G12" s="98">
        <v>0.2</v>
      </c>
    </row>
    <row r="13" spans="1:7">
      <c r="A13" s="23">
        <v>11</v>
      </c>
      <c r="B13" s="23" t="s">
        <v>106</v>
      </c>
      <c r="C13" s="33">
        <v>3</v>
      </c>
      <c r="D13" s="97">
        <f t="shared" si="0"/>
        <v>1</v>
      </c>
      <c r="E13" s="98">
        <v>1</v>
      </c>
      <c r="F13" s="98"/>
      <c r="G13" s="98"/>
    </row>
    <row r="14" spans="1:7">
      <c r="A14" s="23">
        <v>12</v>
      </c>
      <c r="B14" s="23" t="s">
        <v>98</v>
      </c>
      <c r="C14" s="33">
        <v>1.2</v>
      </c>
      <c r="D14" s="97">
        <f t="shared" si="0"/>
        <v>2.2000000000000002</v>
      </c>
      <c r="E14" s="98">
        <v>1</v>
      </c>
      <c r="F14" s="98">
        <v>1</v>
      </c>
      <c r="G14" s="98">
        <v>0.2</v>
      </c>
    </row>
    <row r="15" spans="1:7">
      <c r="A15" s="23">
        <v>13</v>
      </c>
      <c r="B15" s="23" t="s">
        <v>107</v>
      </c>
      <c r="C15" s="33">
        <v>2</v>
      </c>
      <c r="D15" s="97">
        <f t="shared" si="0"/>
        <v>1</v>
      </c>
      <c r="E15" s="98">
        <v>1</v>
      </c>
      <c r="F15" s="98"/>
      <c r="G15" s="98"/>
    </row>
    <row r="16" spans="1:7">
      <c r="A16" s="23">
        <v>14</v>
      </c>
      <c r="B16" s="23" t="s">
        <v>98</v>
      </c>
      <c r="C16" s="33">
        <v>1.2</v>
      </c>
      <c r="D16" s="97">
        <f t="shared" si="0"/>
        <v>2.2000000000000002</v>
      </c>
      <c r="E16" s="98">
        <v>1</v>
      </c>
      <c r="F16" s="98">
        <v>1</v>
      </c>
      <c r="G16" s="98">
        <v>0.2</v>
      </c>
    </row>
    <row r="17" spans="1:7">
      <c r="A17" s="23">
        <v>15</v>
      </c>
      <c r="B17" s="23" t="s">
        <v>109</v>
      </c>
      <c r="C17" s="33">
        <v>1</v>
      </c>
      <c r="D17" s="97">
        <f t="shared" si="0"/>
        <v>1</v>
      </c>
      <c r="E17" s="98">
        <v>1</v>
      </c>
      <c r="F17" s="98"/>
      <c r="G17" s="98"/>
    </row>
    <row r="18" spans="1:7">
      <c r="A18" s="23">
        <v>16</v>
      </c>
      <c r="B18" s="23" t="s">
        <v>98</v>
      </c>
      <c r="C18" s="33">
        <v>1.2</v>
      </c>
      <c r="D18" s="97">
        <f t="shared" si="0"/>
        <v>2.2000000000000002</v>
      </c>
      <c r="E18" s="98">
        <v>1</v>
      </c>
      <c r="F18" s="98">
        <v>1</v>
      </c>
      <c r="G18" s="98">
        <v>0.2</v>
      </c>
    </row>
    <row r="19" spans="1:7">
      <c r="A19" s="23">
        <v>17</v>
      </c>
      <c r="B19" s="23" t="s">
        <v>111</v>
      </c>
      <c r="C19" s="33">
        <v>1</v>
      </c>
      <c r="D19" s="97">
        <f t="shared" si="0"/>
        <v>1</v>
      </c>
      <c r="E19" s="98">
        <v>1</v>
      </c>
      <c r="F19" s="98"/>
      <c r="G19" s="98"/>
    </row>
    <row r="20" spans="1:7">
      <c r="A20" s="23">
        <v>18</v>
      </c>
      <c r="B20" s="23" t="s">
        <v>98</v>
      </c>
      <c r="C20" s="33">
        <v>1.2</v>
      </c>
      <c r="D20" s="97">
        <f t="shared" si="0"/>
        <v>2.2000000000000002</v>
      </c>
      <c r="E20" s="98">
        <v>1</v>
      </c>
      <c r="F20" s="98">
        <v>1</v>
      </c>
      <c r="G20" s="98">
        <v>0.2</v>
      </c>
    </row>
    <row r="21" spans="1:7">
      <c r="A21" s="23">
        <v>1</v>
      </c>
      <c r="B21" s="23" t="s">
        <v>77</v>
      </c>
      <c r="C21" s="33">
        <v>1</v>
      </c>
      <c r="D21" s="97">
        <f t="shared" si="0"/>
        <v>0.28000000000000003</v>
      </c>
      <c r="E21" s="98">
        <v>0.28000000000000003</v>
      </c>
      <c r="F21" s="98"/>
      <c r="G21" s="98"/>
    </row>
    <row r="22" spans="1:7">
      <c r="A22" s="23">
        <v>1</v>
      </c>
      <c r="B22" s="23" t="s">
        <v>78</v>
      </c>
      <c r="C22" s="33">
        <v>0.6</v>
      </c>
      <c r="D22" s="97">
        <f t="shared" si="0"/>
        <v>0.2</v>
      </c>
      <c r="E22" s="98">
        <v>0.2</v>
      </c>
      <c r="F22" s="98"/>
      <c r="G22" s="98"/>
    </row>
    <row r="23" spans="1:7">
      <c r="D23" s="97"/>
      <c r="E23" s="98"/>
      <c r="F23" s="98"/>
      <c r="G23" s="98"/>
    </row>
    <row r="24" spans="1:7">
      <c r="B24" s="23" t="s">
        <v>114</v>
      </c>
      <c r="D24" s="97"/>
      <c r="E24" s="98"/>
      <c r="F24" s="98"/>
      <c r="G24" s="98"/>
    </row>
    <row r="25" spans="1:7">
      <c r="A25" s="23">
        <v>2</v>
      </c>
      <c r="B25" s="23" t="s">
        <v>115</v>
      </c>
      <c r="C25" s="33">
        <v>3</v>
      </c>
      <c r="D25" s="97">
        <f t="shared" ref="D25:D40" si="1">SUM(E25:H25)</f>
        <v>0.5</v>
      </c>
      <c r="E25" s="98"/>
      <c r="F25" s="98">
        <v>0.5</v>
      </c>
      <c r="G25" s="98"/>
    </row>
    <row r="26" spans="1:7">
      <c r="A26" s="23">
        <v>3</v>
      </c>
      <c r="B26" s="23" t="s">
        <v>96</v>
      </c>
      <c r="C26" s="33">
        <v>0.8</v>
      </c>
      <c r="D26" s="97">
        <f t="shared" si="1"/>
        <v>2.2000000000000002</v>
      </c>
      <c r="E26" s="98">
        <v>1</v>
      </c>
      <c r="F26" s="98">
        <v>1</v>
      </c>
      <c r="G26" s="98">
        <v>0.2</v>
      </c>
    </row>
    <row r="27" spans="1:7">
      <c r="A27" s="23">
        <v>4</v>
      </c>
      <c r="B27" s="23" t="s">
        <v>116</v>
      </c>
      <c r="C27" s="33">
        <v>2</v>
      </c>
      <c r="D27" s="97">
        <f t="shared" si="1"/>
        <v>1</v>
      </c>
      <c r="E27" s="98"/>
      <c r="F27" s="98">
        <v>1</v>
      </c>
      <c r="G27" s="98"/>
    </row>
    <row r="28" spans="1:7">
      <c r="A28" s="23">
        <v>5</v>
      </c>
      <c r="B28" s="23" t="s">
        <v>96</v>
      </c>
      <c r="C28" s="33">
        <v>0.8</v>
      </c>
      <c r="D28" s="97">
        <f t="shared" si="1"/>
        <v>2.2000000000000002</v>
      </c>
      <c r="E28" s="98">
        <v>1</v>
      </c>
      <c r="F28" s="98">
        <v>1</v>
      </c>
      <c r="G28" s="98">
        <v>0.2</v>
      </c>
    </row>
    <row r="29" spans="1:7">
      <c r="A29" s="23">
        <v>6</v>
      </c>
      <c r="B29" s="23" t="s">
        <v>90</v>
      </c>
      <c r="C29" s="33">
        <v>1</v>
      </c>
      <c r="D29" s="97">
        <f t="shared" si="1"/>
        <v>1</v>
      </c>
      <c r="E29" s="98"/>
      <c r="F29" s="98">
        <v>1</v>
      </c>
      <c r="G29" s="98"/>
    </row>
    <row r="30" spans="1:7">
      <c r="A30" s="23">
        <v>7</v>
      </c>
      <c r="B30" s="23" t="s">
        <v>96</v>
      </c>
      <c r="C30" s="33">
        <v>0.8</v>
      </c>
      <c r="D30" s="97">
        <f t="shared" si="1"/>
        <v>2.2000000000000002</v>
      </c>
      <c r="E30" s="98">
        <v>1</v>
      </c>
      <c r="F30" s="98">
        <v>1</v>
      </c>
      <c r="G30" s="98">
        <v>0.2</v>
      </c>
    </row>
    <row r="31" spans="1:7">
      <c r="A31" s="23">
        <v>8</v>
      </c>
      <c r="B31" s="23" t="s">
        <v>117</v>
      </c>
      <c r="C31" s="33">
        <v>1</v>
      </c>
      <c r="D31" s="97">
        <f t="shared" si="1"/>
        <v>1</v>
      </c>
      <c r="E31" s="98"/>
      <c r="F31" s="98">
        <v>1</v>
      </c>
      <c r="G31" s="98"/>
    </row>
    <row r="32" spans="1:7">
      <c r="A32" s="23">
        <v>9</v>
      </c>
      <c r="B32" s="23" t="s">
        <v>96</v>
      </c>
      <c r="C32" s="33">
        <v>1.2</v>
      </c>
      <c r="D32" s="97">
        <f t="shared" si="1"/>
        <v>2.2000000000000002</v>
      </c>
      <c r="E32" s="98">
        <v>1</v>
      </c>
      <c r="F32" s="98">
        <v>1</v>
      </c>
      <c r="G32" s="98">
        <v>0.2</v>
      </c>
    </row>
    <row r="33" spans="1:7">
      <c r="A33" s="23">
        <v>10</v>
      </c>
      <c r="B33" s="23" t="s">
        <v>118</v>
      </c>
      <c r="C33" s="33">
        <v>4</v>
      </c>
      <c r="D33" s="97">
        <f t="shared" si="1"/>
        <v>1</v>
      </c>
      <c r="E33" s="98"/>
      <c r="F33" s="98">
        <v>1</v>
      </c>
      <c r="G33" s="98"/>
    </row>
    <row r="34" spans="1:7">
      <c r="A34" s="23">
        <v>11</v>
      </c>
      <c r="B34" s="23" t="s">
        <v>98</v>
      </c>
      <c r="C34" s="33">
        <v>1.2</v>
      </c>
      <c r="D34" s="97">
        <f t="shared" si="1"/>
        <v>2.2000000000000002</v>
      </c>
      <c r="E34" s="98">
        <v>1</v>
      </c>
      <c r="F34" s="98">
        <v>1</v>
      </c>
      <c r="G34" s="98">
        <v>0.2</v>
      </c>
    </row>
    <row r="35" spans="1:7">
      <c r="A35" s="23">
        <v>12</v>
      </c>
      <c r="B35" s="23" t="s">
        <v>119</v>
      </c>
      <c r="C35" s="33">
        <v>2</v>
      </c>
      <c r="D35" s="97">
        <f t="shared" si="1"/>
        <v>1</v>
      </c>
      <c r="E35" s="98"/>
      <c r="F35" s="98">
        <v>1</v>
      </c>
      <c r="G35" s="98"/>
    </row>
    <row r="36" spans="1:7">
      <c r="A36" s="23">
        <v>13</v>
      </c>
      <c r="B36" s="23" t="s">
        <v>98</v>
      </c>
      <c r="C36" s="33">
        <v>1.2</v>
      </c>
      <c r="D36" s="97">
        <f t="shared" si="1"/>
        <v>2.2000000000000002</v>
      </c>
      <c r="E36" s="98">
        <v>1</v>
      </c>
      <c r="F36" s="98">
        <v>1</v>
      </c>
      <c r="G36" s="98">
        <v>0.2</v>
      </c>
    </row>
    <row r="37" spans="1:7">
      <c r="A37" s="23">
        <v>14</v>
      </c>
      <c r="B37" s="23" t="s">
        <v>120</v>
      </c>
      <c r="C37" s="33">
        <v>1</v>
      </c>
      <c r="D37" s="97">
        <f t="shared" si="1"/>
        <v>1</v>
      </c>
      <c r="E37" s="98"/>
      <c r="F37" s="98">
        <v>1</v>
      </c>
      <c r="G37" s="98"/>
    </row>
    <row r="38" spans="1:7">
      <c r="A38" s="23">
        <v>15</v>
      </c>
      <c r="B38" s="23" t="s">
        <v>98</v>
      </c>
      <c r="C38" s="33">
        <v>1.2</v>
      </c>
      <c r="D38" s="97">
        <f t="shared" si="1"/>
        <v>2.2000000000000002</v>
      </c>
      <c r="E38" s="98">
        <v>1</v>
      </c>
      <c r="F38" s="98">
        <v>1</v>
      </c>
      <c r="G38" s="98">
        <v>0.2</v>
      </c>
    </row>
    <row r="39" spans="1:7">
      <c r="A39" s="23">
        <v>16</v>
      </c>
      <c r="B39" s="23" t="s">
        <v>121</v>
      </c>
      <c r="C39" s="33">
        <v>1</v>
      </c>
      <c r="D39" s="97">
        <f t="shared" si="1"/>
        <v>1</v>
      </c>
      <c r="E39" s="98"/>
      <c r="F39" s="98">
        <v>1</v>
      </c>
      <c r="G39" s="98"/>
    </row>
    <row r="40" spans="1:7">
      <c r="A40" s="23">
        <v>17</v>
      </c>
      <c r="B40" s="23" t="s">
        <v>98</v>
      </c>
      <c r="C40" s="33">
        <v>1.2</v>
      </c>
      <c r="D40" s="97">
        <f t="shared" si="1"/>
        <v>2.2000000000000002</v>
      </c>
      <c r="E40" s="98">
        <v>1</v>
      </c>
      <c r="F40" s="98">
        <v>1</v>
      </c>
      <c r="G40" s="98">
        <v>0.2</v>
      </c>
    </row>
    <row r="41" spans="1:7">
      <c r="D41" s="97"/>
      <c r="E41" s="98"/>
      <c r="F41" s="98"/>
      <c r="G41" s="98"/>
    </row>
    <row r="42" spans="1:7">
      <c r="B42" s="23" t="s">
        <v>122</v>
      </c>
      <c r="D42" s="97"/>
      <c r="E42" s="98"/>
      <c r="F42" s="98"/>
      <c r="G42" s="98"/>
    </row>
    <row r="43" spans="1:7">
      <c r="A43" s="23">
        <v>1</v>
      </c>
      <c r="B43" s="23" t="s">
        <v>81</v>
      </c>
      <c r="C43" s="33">
        <v>6</v>
      </c>
      <c r="D43" s="97">
        <f>SUM(E43:H43)</f>
        <v>1</v>
      </c>
      <c r="E43" s="98">
        <v>0.5</v>
      </c>
      <c r="F43" s="98">
        <v>0.5</v>
      </c>
      <c r="G43" s="98"/>
    </row>
    <row r="44" spans="1:7">
      <c r="A44" s="23">
        <v>7</v>
      </c>
      <c r="B44" s="23" t="s">
        <v>82</v>
      </c>
      <c r="C44" s="33">
        <v>3</v>
      </c>
      <c r="D44" s="97">
        <f>SUM(E44:H44)</f>
        <v>2</v>
      </c>
      <c r="E44" s="98">
        <v>1</v>
      </c>
      <c r="F44" s="98">
        <v>1</v>
      </c>
      <c r="G44" s="98"/>
    </row>
    <row r="45" spans="1:7">
      <c r="A45" s="23">
        <v>1</v>
      </c>
      <c r="B45" s="23" t="s">
        <v>130</v>
      </c>
      <c r="C45" s="33">
        <v>10</v>
      </c>
      <c r="D45" s="97"/>
      <c r="E45" s="98"/>
      <c r="F45" s="98"/>
      <c r="G45" s="98">
        <v>1</v>
      </c>
    </row>
    <row r="46" spans="1:7">
      <c r="A46" s="23">
        <v>1</v>
      </c>
      <c r="B46" s="23" t="s">
        <v>130</v>
      </c>
      <c r="C46" s="33">
        <v>30</v>
      </c>
      <c r="D46" s="97"/>
      <c r="E46" s="98"/>
      <c r="F46" s="98"/>
      <c r="G46" s="98">
        <v>0.79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H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BH5"/>
    </sheetView>
  </sheetViews>
  <sheetFormatPr defaultColWidth="3.75" defaultRowHeight="13.5"/>
  <cols>
    <col min="1" max="1" width="8.5" style="34" bestFit="1" customWidth="1"/>
    <col min="2" max="4" width="3.75" style="1"/>
    <col min="5" max="59" width="6.5" style="1" bestFit="1" customWidth="1"/>
    <col min="60" max="16384" width="3.75" style="1"/>
  </cols>
  <sheetData>
    <row r="1" spans="1:60">
      <c r="A1" s="24"/>
      <c r="B1" s="24"/>
      <c r="C1" s="25"/>
      <c r="D1" s="25"/>
      <c r="E1" s="87" t="s">
        <v>128</v>
      </c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5" t="s">
        <v>129</v>
      </c>
      <c r="BF1" s="85"/>
      <c r="BG1" s="85"/>
      <c r="BH1" s="86"/>
    </row>
    <row r="2" spans="1:60">
      <c r="A2" s="31"/>
      <c r="B2" s="31"/>
      <c r="C2" s="32"/>
      <c r="D2" s="32"/>
      <c r="E2" s="89">
        <v>6</v>
      </c>
      <c r="F2" s="90"/>
      <c r="G2" s="90">
        <v>7</v>
      </c>
      <c r="H2" s="90"/>
      <c r="I2" s="90">
        <v>8</v>
      </c>
      <c r="J2" s="90"/>
      <c r="K2" s="90">
        <v>9</v>
      </c>
      <c r="L2" s="90"/>
      <c r="M2" s="90">
        <v>10</v>
      </c>
      <c r="N2" s="90"/>
      <c r="O2" s="90">
        <v>11</v>
      </c>
      <c r="P2" s="90"/>
      <c r="Q2" s="90">
        <v>12</v>
      </c>
      <c r="R2" s="90"/>
      <c r="S2" s="90">
        <v>13</v>
      </c>
      <c r="T2" s="90"/>
      <c r="U2" s="90">
        <v>14</v>
      </c>
      <c r="V2" s="90"/>
      <c r="W2" s="90">
        <v>15</v>
      </c>
      <c r="X2" s="90"/>
      <c r="Y2" s="90">
        <v>16</v>
      </c>
      <c r="Z2" s="90"/>
      <c r="AA2" s="90">
        <v>17</v>
      </c>
      <c r="AB2" s="90"/>
      <c r="AC2" s="90">
        <v>18</v>
      </c>
      <c r="AD2" s="90"/>
      <c r="AE2" s="90">
        <v>19</v>
      </c>
      <c r="AF2" s="90"/>
      <c r="AG2" s="90">
        <v>20</v>
      </c>
      <c r="AH2" s="90"/>
      <c r="AI2" s="90">
        <v>21</v>
      </c>
      <c r="AJ2" s="90"/>
      <c r="AK2" s="90">
        <v>22</v>
      </c>
      <c r="AL2" s="90"/>
      <c r="AM2" s="90">
        <v>23</v>
      </c>
      <c r="AN2" s="90"/>
      <c r="AO2" s="90">
        <v>24</v>
      </c>
      <c r="AP2" s="90"/>
      <c r="AQ2" s="90">
        <v>25</v>
      </c>
      <c r="AR2" s="90"/>
      <c r="AS2" s="90">
        <v>26</v>
      </c>
      <c r="AT2" s="90"/>
      <c r="AU2" s="90">
        <v>27</v>
      </c>
      <c r="AV2" s="90"/>
      <c r="AW2" s="90">
        <v>28</v>
      </c>
      <c r="AX2" s="90"/>
      <c r="AY2" s="90">
        <v>29</v>
      </c>
      <c r="AZ2" s="90"/>
      <c r="BA2" s="90">
        <v>30</v>
      </c>
      <c r="BB2" s="90"/>
      <c r="BC2" s="90">
        <v>31</v>
      </c>
      <c r="BD2" s="90"/>
      <c r="BE2" s="90">
        <v>1</v>
      </c>
      <c r="BF2" s="90"/>
      <c r="BG2" s="90">
        <v>2</v>
      </c>
      <c r="BH2" s="91"/>
    </row>
    <row r="3" spans="1:60">
      <c r="A3" s="34" t="s">
        <v>123</v>
      </c>
      <c r="E3" s="36">
        <v>0.98</v>
      </c>
      <c r="F3" s="35">
        <v>0.98</v>
      </c>
      <c r="G3" s="35">
        <v>0.98</v>
      </c>
      <c r="H3" s="35">
        <v>0.98</v>
      </c>
      <c r="I3" s="35">
        <v>0.98</v>
      </c>
      <c r="J3" s="35">
        <v>0.78</v>
      </c>
      <c r="K3" s="35">
        <v>1</v>
      </c>
      <c r="L3" s="35">
        <v>1</v>
      </c>
      <c r="M3" s="35">
        <v>1</v>
      </c>
      <c r="N3" s="35">
        <v>1</v>
      </c>
      <c r="O3" s="35">
        <v>1</v>
      </c>
      <c r="P3" s="35">
        <v>1</v>
      </c>
      <c r="Q3" s="35">
        <v>1</v>
      </c>
      <c r="R3" s="35">
        <v>1</v>
      </c>
      <c r="S3" s="35">
        <v>0.5</v>
      </c>
      <c r="T3" s="35">
        <v>0.5</v>
      </c>
      <c r="U3" s="35">
        <v>0.5</v>
      </c>
      <c r="V3" s="35">
        <v>0.5</v>
      </c>
      <c r="W3" s="35">
        <v>1</v>
      </c>
      <c r="X3" s="35">
        <v>1</v>
      </c>
      <c r="Y3" s="35">
        <v>1</v>
      </c>
      <c r="Z3" s="35">
        <v>1</v>
      </c>
      <c r="AA3" s="35">
        <v>1</v>
      </c>
      <c r="AB3" s="35">
        <v>1</v>
      </c>
      <c r="AC3" s="35">
        <v>1</v>
      </c>
      <c r="AD3" s="35">
        <v>1</v>
      </c>
      <c r="AE3" s="35">
        <v>1</v>
      </c>
      <c r="AF3" s="35">
        <v>1</v>
      </c>
      <c r="AG3" s="35">
        <v>1</v>
      </c>
      <c r="AH3" s="35">
        <v>1</v>
      </c>
      <c r="AI3" s="35">
        <v>1</v>
      </c>
      <c r="AJ3" s="35">
        <v>1</v>
      </c>
      <c r="AK3" s="35">
        <v>1</v>
      </c>
      <c r="AL3" s="35">
        <v>1</v>
      </c>
      <c r="AM3" s="35">
        <v>1</v>
      </c>
      <c r="AN3" s="35">
        <v>1</v>
      </c>
      <c r="AO3" s="35">
        <v>1</v>
      </c>
      <c r="AP3" s="35">
        <v>1</v>
      </c>
      <c r="AQ3" s="35">
        <v>1</v>
      </c>
      <c r="AR3" s="35">
        <v>1</v>
      </c>
      <c r="AS3" s="35">
        <v>1</v>
      </c>
      <c r="AT3" s="35">
        <v>1</v>
      </c>
      <c r="AU3" s="35">
        <v>1</v>
      </c>
      <c r="AV3" s="35">
        <v>1</v>
      </c>
      <c r="AW3" s="35">
        <v>1</v>
      </c>
      <c r="AX3" s="35">
        <v>1</v>
      </c>
      <c r="AY3" s="35">
        <v>1</v>
      </c>
      <c r="AZ3" s="35">
        <v>1</v>
      </c>
      <c r="BA3" s="35">
        <v>1</v>
      </c>
      <c r="BB3" s="35">
        <v>1</v>
      </c>
      <c r="BC3" s="35">
        <v>1</v>
      </c>
      <c r="BD3" s="35">
        <v>1</v>
      </c>
      <c r="BE3" s="35">
        <v>1</v>
      </c>
      <c r="BF3" s="35">
        <v>1</v>
      </c>
      <c r="BG3" s="35">
        <v>1</v>
      </c>
      <c r="BH3" s="39"/>
    </row>
    <row r="4" spans="1:60">
      <c r="A4" s="34" t="s">
        <v>28</v>
      </c>
      <c r="E4" s="36">
        <v>1</v>
      </c>
      <c r="F4" s="35">
        <v>1</v>
      </c>
      <c r="G4" s="35">
        <v>1</v>
      </c>
      <c r="H4" s="35">
        <v>1</v>
      </c>
      <c r="I4" s="35">
        <v>1</v>
      </c>
      <c r="J4" s="35">
        <v>1</v>
      </c>
      <c r="K4" s="35">
        <v>0.5</v>
      </c>
      <c r="L4" s="35">
        <v>0.5</v>
      </c>
      <c r="M4" s="35">
        <v>1</v>
      </c>
      <c r="N4" s="35">
        <v>1</v>
      </c>
      <c r="O4" s="35">
        <v>1</v>
      </c>
      <c r="P4" s="35">
        <v>1</v>
      </c>
      <c r="Q4" s="35">
        <v>1</v>
      </c>
      <c r="R4" s="35">
        <v>1</v>
      </c>
      <c r="S4" s="35">
        <v>1</v>
      </c>
      <c r="T4" s="35">
        <v>1</v>
      </c>
      <c r="U4" s="35">
        <v>1</v>
      </c>
      <c r="V4" s="35">
        <v>1</v>
      </c>
      <c r="W4" s="35">
        <v>1</v>
      </c>
      <c r="X4" s="35">
        <v>1</v>
      </c>
      <c r="Y4" s="35">
        <v>1</v>
      </c>
      <c r="Z4" s="35">
        <v>1</v>
      </c>
      <c r="AA4" s="35">
        <v>1</v>
      </c>
      <c r="AB4" s="35">
        <v>1</v>
      </c>
      <c r="AC4" s="35">
        <v>1</v>
      </c>
      <c r="AD4" s="35">
        <v>1</v>
      </c>
      <c r="AE4" s="35">
        <v>1</v>
      </c>
      <c r="AF4" s="35">
        <v>1</v>
      </c>
      <c r="AG4" s="35">
        <v>1</v>
      </c>
      <c r="AH4" s="35">
        <v>1</v>
      </c>
      <c r="AI4" s="35">
        <v>1</v>
      </c>
      <c r="AJ4" s="35">
        <v>1</v>
      </c>
      <c r="AK4" s="35">
        <v>1</v>
      </c>
      <c r="AL4" s="35">
        <v>1</v>
      </c>
      <c r="AM4" s="35">
        <v>1</v>
      </c>
      <c r="AN4" s="35">
        <v>1</v>
      </c>
      <c r="AO4" s="35">
        <v>1</v>
      </c>
      <c r="AP4" s="35">
        <v>1</v>
      </c>
      <c r="AQ4" s="35">
        <v>1</v>
      </c>
      <c r="AR4" s="35">
        <v>1</v>
      </c>
      <c r="AS4" s="35">
        <v>1</v>
      </c>
      <c r="AT4" s="35">
        <v>1</v>
      </c>
      <c r="AU4" s="35">
        <v>1</v>
      </c>
      <c r="AV4" s="35">
        <v>1</v>
      </c>
      <c r="AW4" s="35">
        <v>1</v>
      </c>
      <c r="AX4" s="35">
        <v>1</v>
      </c>
      <c r="AY4" s="35">
        <v>1</v>
      </c>
      <c r="AZ4" s="35">
        <v>1</v>
      </c>
      <c r="BA4" s="35">
        <v>1</v>
      </c>
      <c r="BB4" s="35">
        <v>1</v>
      </c>
      <c r="BC4" s="35">
        <v>1</v>
      </c>
      <c r="BD4" s="35">
        <v>1</v>
      </c>
      <c r="BE4" s="35">
        <v>1</v>
      </c>
      <c r="BF4" s="35">
        <v>1</v>
      </c>
      <c r="BG4" s="35">
        <v>1</v>
      </c>
      <c r="BH4" s="39"/>
    </row>
    <row r="5" spans="1:60">
      <c r="A5" s="34" t="s">
        <v>126</v>
      </c>
      <c r="E5" s="37">
        <v>1</v>
      </c>
      <c r="F5" s="38">
        <v>1</v>
      </c>
      <c r="G5" s="38">
        <v>1</v>
      </c>
      <c r="H5" s="38">
        <v>1</v>
      </c>
      <c r="I5" s="38">
        <v>1</v>
      </c>
      <c r="J5" s="38">
        <v>1</v>
      </c>
      <c r="K5" s="38">
        <v>1</v>
      </c>
      <c r="L5" s="38">
        <v>1</v>
      </c>
      <c r="M5" s="38">
        <v>0.99</v>
      </c>
      <c r="N5" s="38">
        <v>0.99</v>
      </c>
      <c r="O5" s="38">
        <v>0.99</v>
      </c>
      <c r="P5" s="38">
        <v>0.99</v>
      </c>
      <c r="Q5" s="38">
        <v>0.99</v>
      </c>
      <c r="R5" s="38">
        <v>0.99</v>
      </c>
      <c r="S5" s="38">
        <v>0.99</v>
      </c>
      <c r="T5" s="38">
        <v>0.99</v>
      </c>
      <c r="U5" s="38">
        <v>0.99</v>
      </c>
      <c r="V5" s="38">
        <v>0.99</v>
      </c>
      <c r="W5" s="38">
        <v>0.99</v>
      </c>
      <c r="X5" s="38">
        <v>0.99</v>
      </c>
      <c r="Y5" s="38">
        <v>0.99</v>
      </c>
      <c r="Z5" s="38">
        <v>0.99</v>
      </c>
      <c r="AA5" s="38">
        <v>0.99</v>
      </c>
      <c r="AB5" s="38">
        <v>0.99</v>
      </c>
      <c r="AC5" s="38">
        <v>0.99</v>
      </c>
      <c r="AD5" s="38">
        <v>0.99</v>
      </c>
      <c r="AE5" s="38">
        <v>0.99</v>
      </c>
      <c r="AF5" s="38">
        <v>0.99</v>
      </c>
      <c r="AG5" s="38">
        <v>0.99</v>
      </c>
      <c r="AH5" s="38">
        <v>0.99</v>
      </c>
      <c r="AI5" s="38">
        <v>0.99</v>
      </c>
      <c r="AJ5" s="38">
        <v>0.99</v>
      </c>
      <c r="AK5" s="38">
        <v>0.99</v>
      </c>
      <c r="AL5" s="38">
        <v>0.99</v>
      </c>
      <c r="AM5" s="38">
        <v>0.99</v>
      </c>
      <c r="AN5" s="38">
        <v>0.99</v>
      </c>
      <c r="AO5" s="38">
        <v>0.99</v>
      </c>
      <c r="AP5" s="38">
        <v>0.99</v>
      </c>
      <c r="AQ5" s="38">
        <v>0.99</v>
      </c>
      <c r="AR5" s="38">
        <v>0.99</v>
      </c>
      <c r="AS5" s="38">
        <v>0.99</v>
      </c>
      <c r="AT5" s="38">
        <v>0.99</v>
      </c>
      <c r="AU5" s="38">
        <v>0.99</v>
      </c>
      <c r="AV5" s="38">
        <v>0.99</v>
      </c>
      <c r="AW5" s="38">
        <v>0.99</v>
      </c>
      <c r="AX5" s="38">
        <v>0.99</v>
      </c>
      <c r="AY5" s="38">
        <v>0.99</v>
      </c>
      <c r="AZ5" s="38">
        <v>0.99</v>
      </c>
      <c r="BA5" s="38">
        <v>0.99</v>
      </c>
      <c r="BB5" s="38">
        <v>0.99</v>
      </c>
      <c r="BC5" s="38">
        <v>0.99</v>
      </c>
      <c r="BD5" s="38">
        <v>0.99</v>
      </c>
      <c r="BE5" s="38">
        <v>0.99</v>
      </c>
      <c r="BF5" s="38">
        <v>0.99</v>
      </c>
      <c r="BG5" s="38">
        <v>0.19999999999999996</v>
      </c>
      <c r="BH5" s="40"/>
    </row>
  </sheetData>
  <mergeCells count="30">
    <mergeCell ref="BC2:BD2"/>
    <mergeCell ref="BE2:BF2"/>
    <mergeCell ref="BG2:BH2"/>
    <mergeCell ref="E1:BD1"/>
    <mergeCell ref="BE1:BH1"/>
    <mergeCell ref="AS2:AT2"/>
    <mergeCell ref="AU2:AV2"/>
    <mergeCell ref="AW2:AX2"/>
    <mergeCell ref="AY2:AZ2"/>
    <mergeCell ref="BA2:BB2"/>
    <mergeCell ref="AI2:AJ2"/>
    <mergeCell ref="AK2:AL2"/>
    <mergeCell ref="AM2:AN2"/>
    <mergeCell ref="AO2:AP2"/>
    <mergeCell ref="AQ2:AR2"/>
    <mergeCell ref="Y2:Z2"/>
    <mergeCell ref="AA2:AB2"/>
    <mergeCell ref="AC2:AD2"/>
    <mergeCell ref="AE2:AF2"/>
    <mergeCell ref="AG2:AH2"/>
    <mergeCell ref="O2:P2"/>
    <mergeCell ref="Q2:R2"/>
    <mergeCell ref="S2:T2"/>
    <mergeCell ref="U2:V2"/>
    <mergeCell ref="W2:X2"/>
    <mergeCell ref="E2:F2"/>
    <mergeCell ref="G2:H2"/>
    <mergeCell ref="I2:J2"/>
    <mergeCell ref="K2:L2"/>
    <mergeCell ref="M2:N2"/>
  </mergeCells>
  <phoneticPr fontId="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D2:AH5"/>
  <sheetViews>
    <sheetView topLeftCell="C2" zoomScale="130" zoomScaleNormal="130" workbookViewId="0">
      <selection activeCell="AJ21" sqref="AJ21"/>
    </sheetView>
  </sheetViews>
  <sheetFormatPr defaultRowHeight="13.5"/>
  <cols>
    <col min="1" max="2" width="9" style="54"/>
    <col min="3" max="3" width="6.375" style="54" customWidth="1"/>
    <col min="4" max="34" width="3.5" style="53" bestFit="1" customWidth="1"/>
    <col min="35" max="16384" width="9" style="54"/>
  </cols>
  <sheetData>
    <row r="2" spans="4:34" ht="23.25" customHeight="1"/>
    <row r="3" spans="4:34">
      <c r="D3" s="92" t="s">
        <v>30</v>
      </c>
      <c r="E3" s="92"/>
      <c r="F3" s="92"/>
      <c r="G3" s="92"/>
      <c r="H3" s="92"/>
      <c r="I3" s="92" t="s">
        <v>31</v>
      </c>
      <c r="J3" s="92"/>
      <c r="K3" s="92"/>
      <c r="L3" s="92"/>
      <c r="M3" s="92" t="s">
        <v>32</v>
      </c>
      <c r="N3" s="92"/>
      <c r="O3" s="92"/>
      <c r="P3" s="92"/>
      <c r="Q3" s="92"/>
      <c r="R3" s="92" t="s">
        <v>33</v>
      </c>
      <c r="S3" s="92"/>
      <c r="T3" s="92"/>
      <c r="U3" s="92"/>
      <c r="V3" s="92" t="s">
        <v>34</v>
      </c>
      <c r="W3" s="92"/>
      <c r="X3" s="92"/>
      <c r="Y3" s="92"/>
      <c r="Z3" s="92" t="s">
        <v>35</v>
      </c>
      <c r="AA3" s="92"/>
      <c r="AB3" s="92"/>
      <c r="AC3" s="92"/>
      <c r="AD3" s="92"/>
      <c r="AE3" s="92" t="s">
        <v>36</v>
      </c>
      <c r="AF3" s="92"/>
      <c r="AG3" s="92"/>
      <c r="AH3" s="92"/>
    </row>
    <row r="4" spans="4:34" ht="22.5" customHeight="1">
      <c r="D4" s="60">
        <v>41487</v>
      </c>
      <c r="E4" s="60">
        <v>41494</v>
      </c>
      <c r="F4" s="60">
        <v>41501</v>
      </c>
      <c r="G4" s="60">
        <v>41508</v>
      </c>
      <c r="H4" s="60">
        <v>41515</v>
      </c>
      <c r="I4" s="60">
        <v>41522</v>
      </c>
      <c r="J4" s="60">
        <v>41529</v>
      </c>
      <c r="K4" s="60">
        <v>41536</v>
      </c>
      <c r="L4" s="60">
        <v>41543</v>
      </c>
      <c r="M4" s="60">
        <v>41550</v>
      </c>
      <c r="N4" s="60">
        <v>41557</v>
      </c>
      <c r="O4" s="60">
        <v>41564</v>
      </c>
      <c r="P4" s="60">
        <v>41571</v>
      </c>
      <c r="Q4" s="60">
        <v>41578</v>
      </c>
      <c r="R4" s="60">
        <v>41585</v>
      </c>
      <c r="S4" s="60">
        <v>41592</v>
      </c>
      <c r="T4" s="60">
        <v>41599</v>
      </c>
      <c r="U4" s="60">
        <v>41606</v>
      </c>
      <c r="V4" s="60">
        <v>41613</v>
      </c>
      <c r="W4" s="60">
        <v>41620</v>
      </c>
      <c r="X4" s="60">
        <v>41627</v>
      </c>
      <c r="Y4" s="60">
        <v>41634</v>
      </c>
      <c r="Z4" s="60">
        <v>41641</v>
      </c>
      <c r="AA4" s="60">
        <v>41648</v>
      </c>
      <c r="AB4" s="60">
        <v>41655</v>
      </c>
      <c r="AC4" s="60">
        <v>41662</v>
      </c>
      <c r="AD4" s="60">
        <v>41669</v>
      </c>
      <c r="AE4" s="60">
        <v>41676</v>
      </c>
      <c r="AF4" s="60">
        <v>41683</v>
      </c>
      <c r="AG4" s="60">
        <v>41690</v>
      </c>
      <c r="AH4" s="60">
        <v>41697</v>
      </c>
    </row>
    <row r="5" spans="4:34" ht="35.25" customHeight="1"/>
  </sheetData>
  <mergeCells count="7">
    <mergeCell ref="AE3:AH3"/>
    <mergeCell ref="D3:H3"/>
    <mergeCell ref="I3:L3"/>
    <mergeCell ref="M3:Q3"/>
    <mergeCell ref="R3:U3"/>
    <mergeCell ref="V3:Y3"/>
    <mergeCell ref="Z3:AD3"/>
  </mergeCells>
  <phoneticPr fontId="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B2:H21"/>
  <sheetViews>
    <sheetView workbookViewId="0">
      <selection activeCell="B15" sqref="B15"/>
    </sheetView>
  </sheetViews>
  <sheetFormatPr defaultRowHeight="13.5"/>
  <cols>
    <col min="1" max="1" width="5" style="54" customWidth="1"/>
    <col min="2" max="2" width="10.125" style="54" customWidth="1"/>
    <col min="3" max="3" width="47.375" style="59" customWidth="1"/>
    <col min="4" max="4" width="10.75" style="54" customWidth="1"/>
    <col min="5" max="5" width="11" style="54" customWidth="1"/>
    <col min="6" max="6" width="36.375" style="59" customWidth="1"/>
    <col min="7" max="7" width="11.625" style="54" bestFit="1" customWidth="1"/>
    <col min="8" max="8" width="9" style="54" bestFit="1" customWidth="1"/>
    <col min="9" max="16384" width="9" style="54"/>
  </cols>
  <sheetData>
    <row r="2" spans="2:8" ht="51" customHeight="1">
      <c r="B2" s="93" t="s">
        <v>61</v>
      </c>
      <c r="C2" s="93"/>
      <c r="D2" s="93"/>
      <c r="E2" s="93"/>
      <c r="F2" s="93"/>
      <c r="G2" s="93"/>
      <c r="H2" s="93"/>
    </row>
    <row r="3" spans="2:8" ht="29.25" customHeight="1">
      <c r="B3" s="94" t="s">
        <v>40</v>
      </c>
      <c r="C3" s="94"/>
      <c r="D3" s="94"/>
      <c r="E3" s="94"/>
      <c r="F3" s="94"/>
      <c r="G3" s="94"/>
      <c r="H3" s="94"/>
    </row>
    <row r="4" spans="2:8">
      <c r="B4" s="55" t="s">
        <v>37</v>
      </c>
      <c r="C4" s="95" t="s">
        <v>38</v>
      </c>
      <c r="D4" s="95"/>
      <c r="E4" s="95"/>
      <c r="F4" s="95"/>
      <c r="G4" s="95"/>
      <c r="H4" s="95"/>
    </row>
    <row r="5" spans="2:8">
      <c r="B5" s="55" t="s">
        <v>42</v>
      </c>
      <c r="C5" s="96">
        <v>41487</v>
      </c>
      <c r="D5" s="96"/>
      <c r="E5" s="96"/>
      <c r="F5" s="96"/>
      <c r="G5" s="96"/>
      <c r="H5" s="96"/>
    </row>
    <row r="6" spans="2:8">
      <c r="B6" s="55" t="s">
        <v>43</v>
      </c>
      <c r="C6" s="95" t="s">
        <v>51</v>
      </c>
      <c r="D6" s="95"/>
      <c r="E6" s="95"/>
      <c r="F6" s="95"/>
      <c r="G6" s="95"/>
      <c r="H6" s="95"/>
    </row>
    <row r="7" spans="2:8" ht="31.5" customHeight="1">
      <c r="B7" s="94" t="s">
        <v>41</v>
      </c>
      <c r="C7" s="94"/>
      <c r="D7" s="94"/>
      <c r="E7" s="94"/>
      <c r="F7" s="94"/>
      <c r="G7" s="94"/>
      <c r="H7" s="94"/>
    </row>
    <row r="8" spans="2:8">
      <c r="B8" s="56" t="s">
        <v>44</v>
      </c>
      <c r="C8" s="57" t="s">
        <v>45</v>
      </c>
      <c r="D8" s="56" t="s">
        <v>46</v>
      </c>
      <c r="E8" s="56" t="s">
        <v>50</v>
      </c>
      <c r="F8" s="57" t="s">
        <v>47</v>
      </c>
      <c r="G8" s="56" t="s">
        <v>48</v>
      </c>
      <c r="H8" s="56" t="s">
        <v>49</v>
      </c>
    </row>
    <row r="9" spans="2:8" ht="27">
      <c r="B9" s="55">
        <v>1</v>
      </c>
      <c r="C9" s="58" t="s">
        <v>52</v>
      </c>
      <c r="D9" s="55" t="s">
        <v>57</v>
      </c>
      <c r="E9" s="55" t="s">
        <v>54</v>
      </c>
      <c r="F9" s="58" t="s">
        <v>55</v>
      </c>
      <c r="G9" s="55" t="s">
        <v>39</v>
      </c>
      <c r="H9" s="55" t="s">
        <v>56</v>
      </c>
    </row>
    <row r="10" spans="2:8">
      <c r="B10" s="55">
        <v>2</v>
      </c>
      <c r="C10" s="58" t="s">
        <v>65</v>
      </c>
      <c r="D10" s="55" t="s">
        <v>57</v>
      </c>
      <c r="E10" s="55" t="s">
        <v>54</v>
      </c>
      <c r="F10" s="58" t="s">
        <v>66</v>
      </c>
      <c r="G10" s="55" t="s">
        <v>58</v>
      </c>
      <c r="H10" s="55" t="s">
        <v>56</v>
      </c>
    </row>
    <row r="11" spans="2:8">
      <c r="B11" s="55">
        <v>3</v>
      </c>
      <c r="C11" s="58" t="s">
        <v>67</v>
      </c>
      <c r="D11" s="55" t="s">
        <v>59</v>
      </c>
      <c r="E11" s="55" t="s">
        <v>60</v>
      </c>
      <c r="F11" s="58" t="s">
        <v>68</v>
      </c>
      <c r="G11" s="55" t="s">
        <v>39</v>
      </c>
      <c r="H11" s="55" t="s">
        <v>56</v>
      </c>
    </row>
    <row r="12" spans="2:8">
      <c r="B12" s="55">
        <v>4</v>
      </c>
      <c r="C12" s="58" t="s">
        <v>69</v>
      </c>
      <c r="D12" s="55" t="s">
        <v>57</v>
      </c>
      <c r="E12" s="55" t="s">
        <v>53</v>
      </c>
      <c r="F12" s="58" t="s">
        <v>70</v>
      </c>
      <c r="G12" s="55" t="s">
        <v>39</v>
      </c>
      <c r="H12" s="55" t="s">
        <v>56</v>
      </c>
    </row>
    <row r="13" spans="2:8">
      <c r="B13" s="55">
        <v>5</v>
      </c>
      <c r="C13" s="58" t="s">
        <v>71</v>
      </c>
      <c r="D13" s="55" t="s">
        <v>59</v>
      </c>
      <c r="E13" s="55" t="s">
        <v>60</v>
      </c>
      <c r="F13" s="58" t="s">
        <v>72</v>
      </c>
      <c r="G13" s="55" t="s">
        <v>58</v>
      </c>
      <c r="H13" s="55" t="s">
        <v>56</v>
      </c>
    </row>
    <row r="14" spans="2:8">
      <c r="B14" s="55">
        <v>6</v>
      </c>
      <c r="C14" s="58" t="s">
        <v>73</v>
      </c>
      <c r="D14" s="55" t="s">
        <v>57</v>
      </c>
      <c r="E14" s="55" t="s">
        <v>54</v>
      </c>
      <c r="F14" s="58" t="s">
        <v>74</v>
      </c>
      <c r="G14" s="55" t="s">
        <v>39</v>
      </c>
      <c r="H14" s="55" t="s">
        <v>56</v>
      </c>
    </row>
    <row r="15" spans="2:8">
      <c r="B15" s="55"/>
      <c r="C15" s="58"/>
      <c r="D15" s="55"/>
      <c r="E15" s="55"/>
      <c r="F15" s="58"/>
      <c r="G15" s="55"/>
      <c r="H15" s="55"/>
    </row>
    <row r="16" spans="2:8">
      <c r="B16" s="55"/>
      <c r="C16" s="58"/>
      <c r="D16" s="55"/>
      <c r="E16" s="55"/>
      <c r="F16" s="58"/>
      <c r="G16" s="55"/>
      <c r="H16" s="55"/>
    </row>
    <row r="17" spans="2:8">
      <c r="B17" s="55"/>
      <c r="C17" s="58"/>
      <c r="D17" s="55"/>
      <c r="E17" s="55"/>
      <c r="F17" s="58"/>
      <c r="G17" s="55"/>
      <c r="H17" s="55"/>
    </row>
    <row r="18" spans="2:8">
      <c r="B18" s="55"/>
      <c r="C18" s="58"/>
      <c r="D18" s="55"/>
      <c r="E18" s="55"/>
      <c r="F18" s="58"/>
      <c r="G18" s="55"/>
      <c r="H18" s="55"/>
    </row>
    <row r="19" spans="2:8">
      <c r="B19" s="55"/>
      <c r="C19" s="58"/>
      <c r="D19" s="55"/>
      <c r="E19" s="55"/>
      <c r="F19" s="58"/>
      <c r="G19" s="55"/>
      <c r="H19" s="55"/>
    </row>
    <row r="20" spans="2:8">
      <c r="B20" s="55"/>
      <c r="C20" s="58"/>
      <c r="D20" s="55"/>
      <c r="E20" s="55"/>
      <c r="F20" s="58"/>
      <c r="G20" s="55"/>
      <c r="H20" s="55"/>
    </row>
    <row r="21" spans="2:8">
      <c r="B21" s="55"/>
      <c r="C21" s="58"/>
      <c r="D21" s="55"/>
      <c r="E21" s="55"/>
      <c r="F21" s="58"/>
      <c r="G21" s="55"/>
      <c r="H21" s="55"/>
    </row>
  </sheetData>
  <mergeCells count="6">
    <mergeCell ref="B2:H2"/>
    <mergeCell ref="B3:H3"/>
    <mergeCell ref="B7:H7"/>
    <mergeCell ref="C4:H4"/>
    <mergeCell ref="C5:H5"/>
    <mergeCell ref="C6:H6"/>
  </mergeCells>
  <phoneticPr fontId="8" type="noConversion"/>
  <conditionalFormatting sqref="B9:H9">
    <cfRule type="expression" dxfId="8" priority="9">
      <formula>$H9="关闭"</formula>
    </cfRule>
  </conditionalFormatting>
  <conditionalFormatting sqref="B10:H10">
    <cfRule type="expression" dxfId="7" priority="8">
      <formula>$H$9="关闭"</formula>
    </cfRule>
  </conditionalFormatting>
  <conditionalFormatting sqref="B10:H10">
    <cfRule type="expression" dxfId="6" priority="7">
      <formula>$H10="关闭"</formula>
    </cfRule>
  </conditionalFormatting>
  <conditionalFormatting sqref="B11:H11">
    <cfRule type="expression" dxfId="5" priority="6">
      <formula>$H$9="关闭"</formula>
    </cfRule>
  </conditionalFormatting>
  <conditionalFormatting sqref="B11:H11">
    <cfRule type="expression" dxfId="4" priority="5">
      <formula>$H11="关闭"</formula>
    </cfRule>
  </conditionalFormatting>
  <conditionalFormatting sqref="B12:H12">
    <cfRule type="expression" dxfId="3" priority="4">
      <formula>$H$9="关闭"</formula>
    </cfRule>
  </conditionalFormatting>
  <conditionalFormatting sqref="B12:H12">
    <cfRule type="expression" dxfId="2" priority="3">
      <formula>$H12="关闭"</formula>
    </cfRule>
  </conditionalFormatting>
  <conditionalFormatting sqref="B13:H21">
    <cfRule type="expression" dxfId="1" priority="2">
      <formula>$H$9="关闭"</formula>
    </cfRule>
  </conditionalFormatting>
  <conditionalFormatting sqref="B13:H21">
    <cfRule type="expression" dxfId="0" priority="1">
      <formula>$H13="关闭"</formula>
    </cfRule>
  </conditionalFormatting>
  <dataValidations count="4">
    <dataValidation type="list" allowBlank="1" sqref="D9:D21">
      <formula1>"低,中,高"</formula1>
    </dataValidation>
    <dataValidation type="list" allowBlank="1" sqref="E9:E21">
      <formula1>"极大,大,中,小,极小"</formula1>
    </dataValidation>
    <dataValidation type="list" allowBlank="1" showInputMessage="1" showErrorMessage="1" sqref="G9:G21">
      <formula1>"邓柯,陈崇磐,李诚"</formula1>
    </dataValidation>
    <dataValidation type="list" allowBlank="1" showInputMessage="1" showErrorMessage="1" sqref="H9:H21">
      <formula1>"未发生,已发生,关闭"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26:B27"/>
  <sheetViews>
    <sheetView topLeftCell="A10" zoomScale="115" zoomScaleNormal="115" workbookViewId="0">
      <selection activeCell="L21" sqref="L21"/>
    </sheetView>
  </sheetViews>
  <sheetFormatPr defaultRowHeight="13.5"/>
  <cols>
    <col min="1" max="16384" width="9" style="52"/>
  </cols>
  <sheetData>
    <row r="26" spans="1:2" ht="20.25">
      <c r="A26" s="61" t="s">
        <v>62</v>
      </c>
      <c r="B26" s="62" t="s">
        <v>63</v>
      </c>
    </row>
    <row r="27" spans="1:2" ht="20.25">
      <c r="A27" s="61" t="s">
        <v>62</v>
      </c>
      <c r="B27" s="62" t="s">
        <v>64</v>
      </c>
    </row>
  </sheetData>
  <phoneticPr fontId="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Help</vt:lpstr>
      <vt:lpstr>Schedule</vt:lpstr>
      <vt:lpstr>PersonList</vt:lpstr>
      <vt:lpstr>Holiday</vt:lpstr>
      <vt:lpstr>PersonOccupation</vt:lpstr>
      <vt:lpstr>MileStone</vt:lpstr>
      <vt:lpstr>风险管理</vt:lpstr>
      <vt:lpstr>TDD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</cp:lastModifiedBy>
  <dcterms:created xsi:type="dcterms:W3CDTF">2012-06-28T01:40:15Z</dcterms:created>
  <dcterms:modified xsi:type="dcterms:W3CDTF">2013-08-06T03:17:43Z</dcterms:modified>
</cp:coreProperties>
</file>