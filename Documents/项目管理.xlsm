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8" r:id="rId2"/>
    <sheet name="PersonList" sheetId="5" r:id="rId3"/>
    <sheet name="Holiday" sheetId="6" r:id="rId4"/>
    <sheet name="PersonOccupation" sheetId="7" r:id="rId5"/>
    <sheet name="2013-08" sheetId="4" r:id="rId6"/>
  </sheets>
  <functionGroups/>
  <definedNames>
    <definedName name="_xlnm._FilterDatabase" localSheetId="2" hidden="1">PersonList!#REF!</definedName>
  </definedNames>
  <calcPr calcId="124519"/>
</workbook>
</file>

<file path=xl/calcChain.xml><?xml version="1.0" encoding="utf-8"?>
<calcChain xmlns="http://schemas.openxmlformats.org/spreadsheetml/2006/main">
  <c r="D50" i="5"/>
  <c r="D49"/>
  <c r="D46"/>
  <c r="D45"/>
  <c r="D44"/>
  <c r="D43"/>
  <c r="D42"/>
  <c r="D41"/>
  <c r="D40"/>
  <c r="D39"/>
  <c r="D38"/>
  <c r="D37"/>
  <c r="D36"/>
  <c r="D34"/>
  <c r="D33"/>
  <c r="D31"/>
  <c r="D29"/>
  <c r="D27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</calcChain>
</file>

<file path=xl/comments1.xml><?xml version="1.0" encoding="utf-8"?>
<comments xmlns="http://schemas.openxmlformats.org/spreadsheetml/2006/main">
  <authors>
    <author>c</author>
  </authors>
  <commentList>
    <comment ref="N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F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G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B1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M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C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P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V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3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P3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T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L4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4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Z4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E4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K4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L4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M50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comments2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sharedStrings.xml><?xml version="1.0" encoding="utf-8"?>
<sst xmlns="http://schemas.openxmlformats.org/spreadsheetml/2006/main" count="158" uniqueCount="152">
  <si>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</si>
  <si>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</si>
  <si>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</si>
  <si>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</si>
  <si>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</si>
  <si>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</si>
  <si>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</si>
  <si>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</si>
  <si>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</si>
  <si>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</si>
  <si>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</si>
  <si>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</si>
  <si>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</si>
  <si>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</si>
  <si>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</si>
  <si>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</si>
  <si>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</si>
  <si>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</si>
  <si>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</si>
  <si>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</si>
  <si>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</si>
  <si>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</si>
  <si>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</si>
  <si>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</si>
  <si>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</si>
  <si>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</si>
  <si>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</si>
  <si>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</si>
  <si>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</si>
  <si>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</si>
  <si>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</si>
  <si>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</si>
  <si>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</si>
  <si>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</si>
  <si>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</si>
  <si>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Patrick</t>
  </si>
  <si>
    <t>2013-08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</si>
  <si>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</si>
  <si>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</si>
  <si>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</si>
  <si>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</si>
  <si>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</si>
  <si>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</si>
  <si>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</si>
  <si>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</si>
  <si>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</si>
  <si>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</si>
  <si>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</si>
  <si>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</si>
  <si>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</si>
  <si>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</si>
  <si>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</si>
  <si>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</si>
  <si>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</si>
  <si>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</si>
  <si>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</si>
  <si>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  <phoneticPr fontId="8" type="noConversion"/>
  </si>
  <si>
    <t>业务会话池</t>
  </si>
  <si>
    <t>随机业务调度器</t>
  </si>
  <si>
    <t>兴趣业务调度器</t>
  </si>
  <si>
    <t>统计信息显示</t>
  </si>
  <si>
    <t>全局配置管理</t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</si>
  <si>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</si>
  <si>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主界面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</si>
  <si>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设备卡片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</si>
  <si>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印象卡片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</si>
  <si>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兴趣卡片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</si>
  <si>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双方评价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</si>
  <si>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确认匹配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</si>
  <si>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配置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</si>
  <si>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帮助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</si>
  <si>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</si>
  <si>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r>
      <t>JSON</t>
    </r>
    <r>
      <rPr>
        <sz val="9"/>
        <color theme="1"/>
        <rFont val="宋体"/>
        <family val="3"/>
        <charset val="134"/>
      </rPr>
      <t>功能模块</t>
    </r>
    <phoneticPr fontId="8" type="noConversion"/>
  </si>
  <si>
    <r>
      <t>WebSocket</t>
    </r>
    <r>
      <rPr>
        <sz val="9"/>
        <color theme="1"/>
        <rFont val="宋体"/>
        <family val="3"/>
        <charset val="134"/>
      </rPr>
      <t>通信模块</t>
    </r>
    <phoneticPr fontId="8" type="noConversion"/>
  </si>
  <si>
    <r>
      <rPr>
        <sz val="9"/>
        <color theme="1"/>
        <rFont val="宋体"/>
        <family val="3"/>
        <charset val="134"/>
      </rPr>
      <t>设备管理类</t>
    </r>
    <phoneticPr fontId="8" type="noConversion"/>
  </si>
  <si>
    <r>
      <rPr>
        <sz val="9"/>
        <color theme="1"/>
        <rFont val="宋体"/>
        <family val="3"/>
        <charset val="134"/>
      </rPr>
      <t>在线设备池</t>
    </r>
    <phoneticPr fontId="8" type="noConversion"/>
  </si>
  <si>
    <r>
      <rPr>
        <sz val="9"/>
        <color theme="1"/>
        <rFont val="宋体"/>
        <family val="3"/>
        <charset val="134"/>
      </rPr>
      <t>随机业务设备池</t>
    </r>
    <phoneticPr fontId="8" type="noConversion"/>
  </si>
  <si>
    <r>
      <rPr>
        <sz val="9"/>
        <color theme="1"/>
        <rFont val="宋体"/>
        <family val="3"/>
        <charset val="134"/>
      </rPr>
      <t>随机业务调度器</t>
    </r>
    <phoneticPr fontId="8" type="noConversion"/>
  </si>
  <si>
    <r>
      <rPr>
        <sz val="9"/>
        <color theme="1"/>
        <rFont val="宋体"/>
        <family val="3"/>
        <charset val="134"/>
      </rPr>
      <t>业务会话</t>
    </r>
    <phoneticPr fontId="8" type="noConversion"/>
  </si>
  <si>
    <r>
      <rPr>
        <sz val="9"/>
        <color theme="1"/>
        <rFont val="宋体"/>
        <family val="3"/>
        <charset val="134"/>
      </rPr>
      <t>业务会话池</t>
    </r>
    <phoneticPr fontId="8" type="noConversion"/>
  </si>
  <si>
    <r>
      <rPr>
        <sz val="9"/>
        <color theme="1"/>
        <rFont val="宋体"/>
        <family val="3"/>
        <charset val="134"/>
      </rPr>
      <t>兴趣业务设备池</t>
    </r>
    <phoneticPr fontId="8" type="noConversion"/>
  </si>
  <si>
    <r>
      <rPr>
        <sz val="9"/>
        <color theme="1"/>
        <rFont val="宋体"/>
        <family val="3"/>
        <charset val="134"/>
      </rPr>
      <t>兴趣业务调度器</t>
    </r>
    <phoneticPr fontId="8" type="noConversion"/>
  </si>
  <si>
    <r>
      <rPr>
        <sz val="9"/>
        <color theme="1"/>
        <rFont val="宋体"/>
        <family val="3"/>
        <charset val="134"/>
      </rPr>
      <t>全局配置管理</t>
    </r>
    <phoneticPr fontId="8" type="noConversion"/>
  </si>
  <si>
    <r>
      <rPr>
        <sz val="9"/>
        <color theme="1"/>
        <rFont val="宋体"/>
        <family val="3"/>
        <charset val="134"/>
      </rPr>
      <t>统计信息显示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</si>
  <si>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</t>
    </r>
    <r>
      <rPr>
        <b/>
        <sz val="9"/>
        <rFont val="宋体"/>
        <family val="3"/>
        <charset val="134"/>
      </rPr>
      <t>性能测试</t>
    </r>
    <phoneticPr fontId="8" type="noConversion"/>
  </si>
  <si>
    <t>业务测试模块</t>
  </si>
  <si>
    <t>基础功能测试函数</t>
  </si>
  <si>
    <t>通信模块</t>
  </si>
  <si>
    <t>通信模块</t>
    <phoneticPr fontId="8" type="noConversion"/>
  </si>
  <si>
    <r>
      <t>WebRTC</t>
    </r>
    <r>
      <rPr>
        <sz val="9"/>
        <rFont val="宋体"/>
        <family val="3"/>
        <charset val="134"/>
      </rPr>
      <t>模块</t>
    </r>
    <phoneticPr fontId="8" type="noConversion"/>
  </si>
  <si>
    <t>公共模块</t>
  </si>
  <si>
    <t>公共模块</t>
    <phoneticPr fontId="8" type="noConversion"/>
  </si>
  <si>
    <t>日志模块</t>
  </si>
  <si>
    <t>日志模块</t>
    <phoneticPr fontId="8" type="noConversion"/>
  </si>
  <si>
    <t>用户数据模块</t>
  </si>
  <si>
    <t>用户数据模块</t>
    <phoneticPr fontId="8" type="noConversion"/>
  </si>
  <si>
    <r>
      <t>App</t>
    </r>
    <r>
      <rPr>
        <sz val="9"/>
        <rFont val="宋体"/>
        <family val="3"/>
        <charset val="134"/>
      </rPr>
      <t>数据模块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</si>
  <si>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等待匹配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</si>
  <si>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视频聊天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</si>
  <si>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提示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</si>
  <si>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启动页</t>
    </r>
    <phoneticPr fontId="8" type="noConversion"/>
  </si>
  <si>
    <t>功能模块测试</t>
  </si>
  <si>
    <t>功能模块测试</t>
    <phoneticPr fontId="8" type="noConversion"/>
  </si>
  <si>
    <t>业务功能测试</t>
  </si>
  <si>
    <t>业务功能测试</t>
    <phoneticPr fontId="8" type="noConversion"/>
  </si>
  <si>
    <t>business</t>
  </si>
  <si>
    <t>business</t>
    <phoneticPr fontId="8" type="noConversion"/>
  </si>
  <si>
    <t>db</t>
  </si>
  <si>
    <t>db</t>
    <phoneticPr fontId="8" type="noConversion"/>
  </si>
  <si>
    <t>JSON功能模块</t>
  </si>
  <si>
    <t>JSON</t>
  </si>
  <si>
    <t>JSON</t>
    <phoneticPr fontId="8" type="noConversion"/>
  </si>
  <si>
    <t>log</t>
  </si>
  <si>
    <t>log</t>
    <phoneticPr fontId="8" type="noConversion"/>
  </si>
  <si>
    <t>test</t>
  </si>
  <si>
    <t>test</t>
    <phoneticPr fontId="8" type="noConversion"/>
  </si>
  <si>
    <t>性能测试设计</t>
  </si>
  <si>
    <t>性能测试设计</t>
    <phoneticPr fontId="8" type="noConversion"/>
  </si>
  <si>
    <t>性能测试编码</t>
  </si>
  <si>
    <t>性能测试编码</t>
    <phoneticPr fontId="8" type="noConversion"/>
  </si>
  <si>
    <t>人海9月份工作列表 - App端</t>
  </si>
  <si>
    <t>WebRTC模块</t>
  </si>
  <si>
    <t>App数据模块</t>
  </si>
  <si>
    <t>界面 - 启动页</t>
  </si>
  <si>
    <t>界面 - 主界面</t>
  </si>
  <si>
    <t>界面 - 设备卡片</t>
  </si>
  <si>
    <t>界面 - 印象卡片</t>
  </si>
  <si>
    <t>界面 - 兴趣卡片</t>
  </si>
  <si>
    <t>界面 - 等待匹配</t>
  </si>
  <si>
    <t>界面 - 确认匹配</t>
  </si>
  <si>
    <t>界面 - 视频聊天</t>
  </si>
  <si>
    <t>界面 - 双方评价</t>
  </si>
  <si>
    <t>界面 - 配置</t>
  </si>
  <si>
    <t>界面 - 提示</t>
  </si>
  <si>
    <t>界面 - 帮助</t>
  </si>
  <si>
    <t>人海9月份工作列表 - Server端</t>
  </si>
  <si>
    <t>数据库操作基础类</t>
  </si>
  <si>
    <t>日志管理类</t>
  </si>
  <si>
    <t>设备管理类</t>
  </si>
  <si>
    <t>在线设备池</t>
  </si>
  <si>
    <t>随机业务设备池</t>
  </si>
  <si>
    <t>业务会话</t>
  </si>
  <si>
    <t>WebSocket通信模块</t>
  </si>
  <si>
    <t>兴趣业务设备池</t>
  </si>
  <si>
    <t>人海9月份工作列表 - 性能测试</t>
  </si>
  <si>
    <t>Patrick</t>
    <phoneticPr fontId="8" type="noConversion"/>
  </si>
  <si>
    <t>Tomas</t>
    <phoneticPr fontId="8" type="noConversion"/>
  </si>
  <si>
    <t>2013-09</t>
  </si>
  <si>
    <t>数据库操作基础类</t>
    <phoneticPr fontId="8" type="noConversion"/>
  </si>
  <si>
    <t>日志管理类</t>
    <phoneticPr fontId="8" type="noConversion"/>
  </si>
  <si>
    <r>
      <rPr>
        <sz val="9"/>
        <color theme="1"/>
        <rFont val="宋体"/>
        <family val="3"/>
        <charset val="134"/>
      </rPr>
      <t>基础功能测试函数</t>
    </r>
    <phoneticPr fontId="8" type="noConversion"/>
  </si>
  <si>
    <r>
      <rPr>
        <sz val="9"/>
        <color theme="1"/>
        <rFont val="宋体"/>
        <family val="3"/>
        <charset val="134"/>
      </rPr>
      <t>业务测试模块</t>
    </r>
    <phoneticPr fontId="8" type="noConversion"/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</si>
</sst>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9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</fonts>
  <fills count="1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14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10" borderId="0" xfId="0" applyFont="1" applyFill="1" applyBorder="1" applyAlignment="1">
      <alignment vertical="center"/>
    </xf>
    <xf numFmtId="178" fontId="4" fillId="10" borderId="1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4" fillId="3" borderId="19" xfId="0" applyFont="1" applyFill="1" applyBorder="1" applyAlignment="1">
      <alignment vertical="center"/>
    </xf>
    <xf numFmtId="178" fontId="4" fillId="10" borderId="19" xfId="0" applyFont="1" applyFill="1" applyBorder="1" applyAlignment="1">
      <alignment vertical="center"/>
    </xf>
    <xf numFmtId="178" fontId="13" fillId="0" borderId="0" xfId="0" applyFont="1" applyBorder="1" applyAlignment="1">
      <alignment horizontal="left" vertical="center" indent="1"/>
    </xf>
    <xf numFmtId="178" fontId="13" fillId="11" borderId="0" xfId="0" applyFont="1" applyFill="1" applyBorder="1" applyAlignment="1">
      <alignment horizontal="left" vertical="center" indent="1"/>
    </xf>
    <xf numFmtId="178" fontId="10" fillId="11" borderId="0" xfId="0" applyFont="1" applyFill="1" applyBorder="1" applyAlignment="1">
      <alignment horizontal="left" vertical="center" indent="1"/>
    </xf>
    <xf numFmtId="178" fontId="15" fillId="0" borderId="0" xfId="0" applyFont="1" applyAlignment="1">
      <alignment vertical="center"/>
    </xf>
    <xf numFmtId="0" fontId="15" fillId="0" borderId="0" xfId="0" applyNumberFormat="1" applyFont="1" applyAlignment="1">
      <alignment horizontal="center" vertical="center"/>
    </xf>
    <xf numFmtId="178" fontId="16" fillId="9" borderId="0" xfId="0" applyFont="1" applyFill="1" applyBorder="1" applyAlignment="1">
      <alignment vertical="center"/>
    </xf>
    <xf numFmtId="178" fontId="17" fillId="11" borderId="0" xfId="0" applyFont="1" applyFill="1" applyBorder="1" applyAlignment="1">
      <alignment horizontal="left" vertical="center" indent="1"/>
    </xf>
    <xf numFmtId="178" fontId="18" fillId="12" borderId="0" xfId="0" applyFont="1" applyFill="1" applyBorder="1" applyAlignment="1">
      <alignment horizontal="left" vertical="center" indent="1"/>
    </xf>
    <xf numFmtId="178" fontId="17" fillId="12" borderId="0" xfId="0" applyFont="1" applyFill="1" applyBorder="1" applyAlignment="1">
      <alignment horizontal="left" vertical="center" indent="1"/>
    </xf>
    <xf numFmtId="178" fontId="18" fillId="0" borderId="0" xfId="0" applyFont="1" applyBorder="1" applyAlignment="1">
      <alignment horizontal="left" vertical="center"/>
    </xf>
    <xf numFmtId="178" fontId="18" fillId="11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/>
    </xf>
    <xf numFmtId="177" fontId="17" fillId="0" borderId="0" xfId="0" applyNumberFormat="1" applyFont="1" applyFill="1" applyBorder="1" applyAlignment="1">
      <alignment vertical="center"/>
    </xf>
    <xf numFmtId="177" fontId="17" fillId="0" borderId="0" xfId="0" applyNumberFormat="1" applyFont="1" applyFill="1" applyBorder="1" applyAlignment="1">
      <alignment horizontal="left" vertical="center"/>
    </xf>
    <xf numFmtId="178" fontId="17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vertical="center"/>
    </xf>
    <xf numFmtId="178" fontId="15" fillId="0" borderId="0" xfId="0" applyFont="1" applyBorder="1" applyAlignment="1">
      <alignment vertical="center"/>
    </xf>
    <xf numFmtId="178" fontId="15" fillId="0" borderId="0" xfId="0" applyFont="1" applyFill="1" applyBorder="1" applyAlignment="1">
      <alignment vertical="center"/>
    </xf>
    <xf numFmtId="178" fontId="15" fillId="0" borderId="0" xfId="0" applyFont="1" applyFill="1" applyBorder="1" applyAlignment="1">
      <alignment horizontal="left" vertical="center"/>
    </xf>
    <xf numFmtId="176" fontId="17" fillId="9" borderId="0" xfId="0" applyNumberFormat="1" applyFont="1" applyFill="1" applyBorder="1" applyAlignment="1">
      <alignment vertical="center"/>
    </xf>
    <xf numFmtId="176" fontId="17" fillId="0" borderId="0" xfId="0" applyNumberFormat="1" applyFont="1" applyFill="1" applyBorder="1" applyAlignment="1">
      <alignment vertical="center"/>
    </xf>
    <xf numFmtId="176" fontId="17" fillId="12" borderId="0" xfId="0" applyNumberFormat="1" applyFont="1" applyFill="1" applyBorder="1" applyAlignment="1">
      <alignment vertical="center"/>
    </xf>
    <xf numFmtId="176" fontId="17" fillId="11" borderId="0" xfId="0" applyNumberFormat="1" applyFont="1" applyFill="1" applyBorder="1" applyAlignment="1">
      <alignment vertical="center"/>
    </xf>
    <xf numFmtId="0" fontId="4" fillId="13" borderId="0" xfId="0" applyNumberFormat="1" applyFont="1" applyFill="1" applyBorder="1" applyAlignment="1">
      <alignment horizontal="center"/>
    </xf>
    <xf numFmtId="178" fontId="4" fillId="2" borderId="10" xfId="0" applyFont="1" applyFill="1" applyBorder="1" applyAlignment="1">
      <alignment vertical="center"/>
    </xf>
    <xf numFmtId="178" fontId="4" fillId="8" borderId="19" xfId="0" applyFont="1" applyFill="1" applyBorder="1" applyAlignment="1">
      <alignment vertical="center"/>
    </xf>
    <xf numFmtId="0" fontId="4" fillId="11" borderId="0" xfId="0" applyNumberFormat="1" applyFont="1" applyFill="1" applyBorder="1" applyAlignment="1">
      <alignment horizontal="center"/>
    </xf>
    <xf numFmtId="178" fontId="4" fillId="14" borderId="0" xfId="0" applyFont="1" applyFill="1" applyBorder="1" applyAlignment="1">
      <alignment vertical="center"/>
    </xf>
    <xf numFmtId="178" fontId="4" fillId="14" borderId="10" xfId="0" applyFont="1" applyFill="1" applyBorder="1" applyAlignment="1">
      <alignment vertical="center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2" borderId="12" xfId="0" applyFont="1" applyFill="1" applyBorder="1" applyAlignment="1">
      <alignment horizontal="center" vertical="center"/>
    </xf>
    <xf numFmtId="178" fontId="4" fillId="2" borderId="16" xfId="0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176" fontId="17" fillId="4" borderId="0" xfId="0" applyNumberFormat="1" applyFont="1" applyFill="1" applyBorder="1" applyAlignment="1">
      <alignment vertical="center"/>
    </xf>
    <xf numFmtId="178" fontId="18" fillId="15" borderId="0" xfId="0" applyFont="1" applyFill="1" applyBorder="1" applyAlignment="1">
      <alignment horizontal="left" vertical="center" indent="1"/>
    </xf>
    <xf numFmtId="176" fontId="17" fillId="15" borderId="0" xfId="0" applyNumberFormat="1" applyFont="1" applyFill="1" applyBorder="1" applyAlignment="1">
      <alignment vertical="center"/>
    </xf>
    <xf numFmtId="178" fontId="18" fillId="4" borderId="0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55</xdr:row>
      <xdr:rowOff>13138</xdr:rowOff>
    </xdr:from>
    <xdr:to>
      <xdr:col>261</xdr:col>
      <xdr:colOff>176705</xdr:colOff>
      <xdr:row>59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36135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214" name="TextBox 213"/>
        <xdr:cNvSpPr txBox="1"/>
      </xdr:nvSpPr>
      <xdr:spPr>
        <a:xfrm>
          <a:off x="573405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215" name="TextBox 214"/>
        <xdr:cNvSpPr txBox="1"/>
      </xdr:nvSpPr>
      <xdr:spPr>
        <a:xfrm>
          <a:off x="4819650" y="704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38</xdr:col>
      <xdr:colOff>0</xdr:colOff>
      <xdr:row>6</xdr:row>
      <xdr:rowOff>0</xdr:rowOff>
    </xdr:to>
    <xdr:sp macro="" textlink="">
      <xdr:nvSpPr>
        <xdr:cNvPr id="216" name="TextBox 215"/>
        <xdr:cNvSpPr txBox="1"/>
      </xdr:nvSpPr>
      <xdr:spPr>
        <a:xfrm>
          <a:off x="5124450" y="876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217" name="TextBox 216"/>
        <xdr:cNvSpPr txBox="1"/>
      </xdr:nvSpPr>
      <xdr:spPr>
        <a:xfrm>
          <a:off x="45148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218" name="TextBox 217"/>
        <xdr:cNvSpPr txBox="1"/>
      </xdr:nvSpPr>
      <xdr:spPr>
        <a:xfrm>
          <a:off x="42100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30</xdr:col>
      <xdr:colOff>0</xdr:colOff>
      <xdr:row>9</xdr:row>
      <xdr:rowOff>0</xdr:rowOff>
    </xdr:to>
    <xdr:sp macro="" textlink="">
      <xdr:nvSpPr>
        <xdr:cNvPr id="219" name="TextBox 218"/>
        <xdr:cNvSpPr txBox="1"/>
      </xdr:nvSpPr>
      <xdr:spPr>
        <a:xfrm>
          <a:off x="39052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48</xdr:col>
      <xdr:colOff>0</xdr:colOff>
      <xdr:row>10</xdr:row>
      <xdr:rowOff>0</xdr:rowOff>
    </xdr:to>
    <xdr:sp macro="" textlink="">
      <xdr:nvSpPr>
        <xdr:cNvPr id="220" name="TextBox 219"/>
        <xdr:cNvSpPr txBox="1"/>
      </xdr:nvSpPr>
      <xdr:spPr>
        <a:xfrm>
          <a:off x="66484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49</xdr:col>
      <xdr:colOff>0</xdr:colOff>
      <xdr:row>11</xdr:row>
      <xdr:rowOff>0</xdr:rowOff>
    </xdr:to>
    <xdr:sp macro="" textlink="">
      <xdr:nvSpPr>
        <xdr:cNvPr id="221" name="TextBox 220"/>
        <xdr:cNvSpPr txBox="1"/>
      </xdr:nvSpPr>
      <xdr:spPr>
        <a:xfrm>
          <a:off x="6800850" y="1733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51</xdr:col>
      <xdr:colOff>0</xdr:colOff>
      <xdr:row>12</xdr:row>
      <xdr:rowOff>0</xdr:rowOff>
    </xdr:to>
    <xdr:sp macro="" textlink="">
      <xdr:nvSpPr>
        <xdr:cNvPr id="222" name="TextBox 221"/>
        <xdr:cNvSpPr txBox="1"/>
      </xdr:nvSpPr>
      <xdr:spPr>
        <a:xfrm>
          <a:off x="7105650" y="1905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57</xdr:col>
      <xdr:colOff>0</xdr:colOff>
      <xdr:row>13</xdr:row>
      <xdr:rowOff>0</xdr:rowOff>
    </xdr:to>
    <xdr:sp macro="" textlink="">
      <xdr:nvSpPr>
        <xdr:cNvPr id="223" name="TextBox 222"/>
        <xdr:cNvSpPr txBox="1"/>
      </xdr:nvSpPr>
      <xdr:spPr>
        <a:xfrm>
          <a:off x="802005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59</xdr:col>
      <xdr:colOff>0</xdr:colOff>
      <xdr:row>14</xdr:row>
      <xdr:rowOff>0</xdr:rowOff>
    </xdr:to>
    <xdr:sp macro="" textlink="">
      <xdr:nvSpPr>
        <xdr:cNvPr id="224" name="TextBox 223"/>
        <xdr:cNvSpPr txBox="1"/>
      </xdr:nvSpPr>
      <xdr:spPr>
        <a:xfrm>
          <a:off x="832485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225" name="TextBox 224"/>
        <xdr:cNvSpPr txBox="1"/>
      </xdr:nvSpPr>
      <xdr:spPr>
        <a:xfrm>
          <a:off x="8934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53</xdr:col>
      <xdr:colOff>0</xdr:colOff>
      <xdr:row>16</xdr:row>
      <xdr:rowOff>0</xdr:rowOff>
    </xdr:to>
    <xdr:sp macro="" textlink="">
      <xdr:nvSpPr>
        <xdr:cNvPr id="226" name="TextBox 225"/>
        <xdr:cNvSpPr txBox="1"/>
      </xdr:nvSpPr>
      <xdr:spPr>
        <a:xfrm>
          <a:off x="7410450" y="2590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65</xdr:col>
      <xdr:colOff>0</xdr:colOff>
      <xdr:row>17</xdr:row>
      <xdr:rowOff>0</xdr:rowOff>
    </xdr:to>
    <xdr:sp macro="" textlink="">
      <xdr:nvSpPr>
        <xdr:cNvPr id="227" name="TextBox 226"/>
        <xdr:cNvSpPr txBox="1"/>
      </xdr:nvSpPr>
      <xdr:spPr>
        <a:xfrm>
          <a:off x="9239250" y="2762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17</xdr:row>
      <xdr:rowOff>0</xdr:rowOff>
    </xdr:from>
    <xdr:to>
      <xdr:col>69</xdr:col>
      <xdr:colOff>28575</xdr:colOff>
      <xdr:row>18</xdr:row>
      <xdr:rowOff>0</xdr:rowOff>
    </xdr:to>
    <xdr:sp macro="" textlink="">
      <xdr:nvSpPr>
        <xdr:cNvPr id="228" name="TextBox 227"/>
        <xdr:cNvSpPr txBox="1"/>
      </xdr:nvSpPr>
      <xdr:spPr>
        <a:xfrm>
          <a:off x="98488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74</xdr:col>
      <xdr:colOff>19050</xdr:colOff>
      <xdr:row>19</xdr:row>
      <xdr:rowOff>0</xdr:rowOff>
    </xdr:to>
    <xdr:sp macro="" textlink="">
      <xdr:nvSpPr>
        <xdr:cNvPr id="229" name="TextBox 228"/>
        <xdr:cNvSpPr txBox="1"/>
      </xdr:nvSpPr>
      <xdr:spPr>
        <a:xfrm>
          <a:off x="104584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230" name="TextBox 229"/>
        <xdr:cNvSpPr txBox="1"/>
      </xdr:nvSpPr>
      <xdr:spPr>
        <a:xfrm>
          <a:off x="77152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52</xdr:col>
      <xdr:colOff>0</xdr:colOff>
      <xdr:row>21</xdr:row>
      <xdr:rowOff>0</xdr:rowOff>
    </xdr:to>
    <xdr:sp macro="" textlink="">
      <xdr:nvSpPr>
        <xdr:cNvPr id="231" name="TextBox 230"/>
        <xdr:cNvSpPr txBox="1"/>
      </xdr:nvSpPr>
      <xdr:spPr>
        <a:xfrm>
          <a:off x="7258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21</xdr:row>
      <xdr:rowOff>0</xdr:rowOff>
    </xdr:from>
    <xdr:to>
      <xdr:col>81</xdr:col>
      <xdr:colOff>66675</xdr:colOff>
      <xdr:row>22</xdr:row>
      <xdr:rowOff>0</xdr:rowOff>
    </xdr:to>
    <xdr:sp macro="" textlink="">
      <xdr:nvSpPr>
        <xdr:cNvPr id="232" name="TextBox 231"/>
        <xdr:cNvSpPr txBox="1"/>
      </xdr:nvSpPr>
      <xdr:spPr>
        <a:xfrm>
          <a:off x="113728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22</xdr:row>
      <xdr:rowOff>0</xdr:rowOff>
    </xdr:from>
    <xdr:to>
      <xdr:col>88</xdr:col>
      <xdr:colOff>114300</xdr:colOff>
      <xdr:row>23</xdr:row>
      <xdr:rowOff>0</xdr:rowOff>
    </xdr:to>
    <xdr:sp macro="" textlink="">
      <xdr:nvSpPr>
        <xdr:cNvPr id="233" name="TextBox 232"/>
        <xdr:cNvSpPr txBox="1"/>
      </xdr:nvSpPr>
      <xdr:spPr>
        <a:xfrm>
          <a:off x="12287250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234" name="TextBox 233"/>
        <xdr:cNvSpPr txBox="1"/>
      </xdr:nvSpPr>
      <xdr:spPr>
        <a:xfrm>
          <a:off x="5429250" y="4476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235" name="TextBox 234"/>
        <xdr:cNvSpPr txBox="1"/>
      </xdr:nvSpPr>
      <xdr:spPr>
        <a:xfrm>
          <a:off x="6343650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48</xdr:col>
      <xdr:colOff>0</xdr:colOff>
      <xdr:row>31</xdr:row>
      <xdr:rowOff>0</xdr:rowOff>
    </xdr:to>
    <xdr:sp macro="" textlink="">
      <xdr:nvSpPr>
        <xdr:cNvPr id="236" name="TextBox 235"/>
        <xdr:cNvSpPr txBox="1"/>
      </xdr:nvSpPr>
      <xdr:spPr>
        <a:xfrm>
          <a:off x="6648450" y="5162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32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237" name="TextBox 236"/>
        <xdr:cNvSpPr txBox="1"/>
      </xdr:nvSpPr>
      <xdr:spPr>
        <a:xfrm>
          <a:off x="72580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37</xdr:col>
      <xdr:colOff>0</xdr:colOff>
      <xdr:row>34</xdr:row>
      <xdr:rowOff>0</xdr:rowOff>
    </xdr:to>
    <xdr:sp macro="" textlink="">
      <xdr:nvSpPr>
        <xdr:cNvPr id="238" name="TextBox 237"/>
        <xdr:cNvSpPr txBox="1"/>
      </xdr:nvSpPr>
      <xdr:spPr>
        <a:xfrm>
          <a:off x="4972050" y="5676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35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239" name="TextBox 238"/>
        <xdr:cNvSpPr txBox="1"/>
      </xdr:nvSpPr>
      <xdr:spPr>
        <a:xfrm>
          <a:off x="81724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36</xdr:row>
      <xdr:rowOff>0</xdr:rowOff>
    </xdr:from>
    <xdr:to>
      <xdr:col>62</xdr:col>
      <xdr:colOff>0</xdr:colOff>
      <xdr:row>37</xdr:row>
      <xdr:rowOff>0</xdr:rowOff>
    </xdr:to>
    <xdr:sp macro="" textlink="">
      <xdr:nvSpPr>
        <xdr:cNvPr id="240" name="TextBox 239"/>
        <xdr:cNvSpPr txBox="1"/>
      </xdr:nvSpPr>
      <xdr:spPr>
        <a:xfrm>
          <a:off x="87820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37</xdr:row>
      <xdr:rowOff>0</xdr:rowOff>
    </xdr:from>
    <xdr:to>
      <xdr:col>70</xdr:col>
      <xdr:colOff>57150</xdr:colOff>
      <xdr:row>38</xdr:row>
      <xdr:rowOff>0</xdr:rowOff>
    </xdr:to>
    <xdr:sp macro="" textlink="">
      <xdr:nvSpPr>
        <xdr:cNvPr id="241" name="TextBox 240"/>
        <xdr:cNvSpPr txBox="1"/>
      </xdr:nvSpPr>
      <xdr:spPr>
        <a:xfrm>
          <a:off x="100012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38</xdr:row>
      <xdr:rowOff>0</xdr:rowOff>
    </xdr:from>
    <xdr:to>
      <xdr:col>72</xdr:col>
      <xdr:colOff>114300</xdr:colOff>
      <xdr:row>39</xdr:row>
      <xdr:rowOff>0</xdr:rowOff>
    </xdr:to>
    <xdr:sp macro="" textlink="">
      <xdr:nvSpPr>
        <xdr:cNvPr id="242" name="TextBox 241"/>
        <xdr:cNvSpPr txBox="1"/>
      </xdr:nvSpPr>
      <xdr:spPr>
        <a:xfrm>
          <a:off x="10306050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39</xdr:row>
      <xdr:rowOff>0</xdr:rowOff>
    </xdr:from>
    <xdr:to>
      <xdr:col>66</xdr:col>
      <xdr:colOff>0</xdr:colOff>
      <xdr:row>40</xdr:row>
      <xdr:rowOff>0</xdr:rowOff>
    </xdr:to>
    <xdr:sp macro="" textlink="">
      <xdr:nvSpPr>
        <xdr:cNvPr id="243" name="TextBox 242"/>
        <xdr:cNvSpPr txBox="1"/>
      </xdr:nvSpPr>
      <xdr:spPr>
        <a:xfrm>
          <a:off x="939165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40</xdr:row>
      <xdr:rowOff>0</xdr:rowOff>
    </xdr:from>
    <xdr:to>
      <xdr:col>77</xdr:col>
      <xdr:colOff>104775</xdr:colOff>
      <xdr:row>41</xdr:row>
      <xdr:rowOff>0</xdr:rowOff>
    </xdr:to>
    <xdr:sp macro="" textlink="">
      <xdr:nvSpPr>
        <xdr:cNvPr id="244" name="TextBox 243"/>
        <xdr:cNvSpPr txBox="1"/>
      </xdr:nvSpPr>
      <xdr:spPr>
        <a:xfrm>
          <a:off x="10915650" y="6877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41</xdr:row>
      <xdr:rowOff>0</xdr:rowOff>
    </xdr:from>
    <xdr:to>
      <xdr:col>81</xdr:col>
      <xdr:colOff>66675</xdr:colOff>
      <xdr:row>42</xdr:row>
      <xdr:rowOff>0</xdr:rowOff>
    </xdr:to>
    <xdr:sp macro="" textlink="">
      <xdr:nvSpPr>
        <xdr:cNvPr id="245" name="TextBox 244"/>
        <xdr:cNvSpPr txBox="1"/>
      </xdr:nvSpPr>
      <xdr:spPr>
        <a:xfrm>
          <a:off x="11372850" y="7048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42</xdr:row>
      <xdr:rowOff>0</xdr:rowOff>
    </xdr:from>
    <xdr:to>
      <xdr:col>84</xdr:col>
      <xdr:colOff>0</xdr:colOff>
      <xdr:row>43</xdr:row>
      <xdr:rowOff>0</xdr:rowOff>
    </xdr:to>
    <xdr:sp macro="" textlink="">
      <xdr:nvSpPr>
        <xdr:cNvPr id="246" name="TextBox 245"/>
        <xdr:cNvSpPr txBox="1"/>
      </xdr:nvSpPr>
      <xdr:spPr>
        <a:xfrm>
          <a:off x="11677650" y="7219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43</xdr:row>
      <xdr:rowOff>0</xdr:rowOff>
    </xdr:from>
    <xdr:to>
      <xdr:col>88</xdr:col>
      <xdr:colOff>114300</xdr:colOff>
      <xdr:row>44</xdr:row>
      <xdr:rowOff>0</xdr:rowOff>
    </xdr:to>
    <xdr:sp macro="" textlink="">
      <xdr:nvSpPr>
        <xdr:cNvPr id="247" name="TextBox 246"/>
        <xdr:cNvSpPr txBox="1"/>
      </xdr:nvSpPr>
      <xdr:spPr>
        <a:xfrm>
          <a:off x="12287250" y="7391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44</xdr:row>
      <xdr:rowOff>0</xdr:rowOff>
    </xdr:from>
    <xdr:to>
      <xdr:col>91</xdr:col>
      <xdr:colOff>47625</xdr:colOff>
      <xdr:row>45</xdr:row>
      <xdr:rowOff>0</xdr:rowOff>
    </xdr:to>
    <xdr:sp macro="" textlink="">
      <xdr:nvSpPr>
        <xdr:cNvPr id="248" name="TextBox 247"/>
        <xdr:cNvSpPr txBox="1"/>
      </xdr:nvSpPr>
      <xdr:spPr>
        <a:xfrm>
          <a:off x="12592050" y="7562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63</xdr:col>
      <xdr:colOff>0</xdr:colOff>
      <xdr:row>45</xdr:row>
      <xdr:rowOff>0</xdr:rowOff>
    </xdr:from>
    <xdr:to>
      <xdr:col>92</xdr:col>
      <xdr:colOff>76200</xdr:colOff>
      <xdr:row>46</xdr:row>
      <xdr:rowOff>0</xdr:rowOff>
    </xdr:to>
    <xdr:sp macro="" textlink="">
      <xdr:nvSpPr>
        <xdr:cNvPr id="249" name="TextBox 248"/>
        <xdr:cNvSpPr txBox="1"/>
      </xdr:nvSpPr>
      <xdr:spPr>
        <a:xfrm>
          <a:off x="12744450" y="7734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64</xdr:col>
      <xdr:colOff>0</xdr:colOff>
      <xdr:row>48</xdr:row>
      <xdr:rowOff>0</xdr:rowOff>
    </xdr:from>
    <xdr:to>
      <xdr:col>93</xdr:col>
      <xdr:colOff>104775</xdr:colOff>
      <xdr:row>49</xdr:row>
      <xdr:rowOff>0</xdr:rowOff>
    </xdr:to>
    <xdr:sp macro="" textlink="">
      <xdr:nvSpPr>
        <xdr:cNvPr id="250" name="TextBox 249"/>
        <xdr:cNvSpPr txBox="1"/>
      </xdr:nvSpPr>
      <xdr:spPr>
        <a:xfrm>
          <a:off x="12896850" y="8248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68</xdr:col>
      <xdr:colOff>0</xdr:colOff>
      <xdr:row>49</xdr:row>
      <xdr:rowOff>0</xdr:rowOff>
    </xdr:from>
    <xdr:to>
      <xdr:col>98</xdr:col>
      <xdr:colOff>95250</xdr:colOff>
      <xdr:row>50</xdr:row>
      <xdr:rowOff>0</xdr:rowOff>
    </xdr:to>
    <xdr:sp macro="" textlink="">
      <xdr:nvSpPr>
        <xdr:cNvPr id="251" name="TextBox 250"/>
        <xdr:cNvSpPr txBox="1"/>
      </xdr:nvSpPr>
      <xdr:spPr>
        <a:xfrm>
          <a:off x="13506450" y="8420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99" t="s">
        <v>0</v>
      </c>
      <c r="D6" s="100"/>
      <c r="E6" s="101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96" t="s">
        <v>9</v>
      </c>
      <c r="D17" s="97"/>
      <c r="E17" s="98"/>
    </row>
    <row r="18" spans="3:5">
      <c r="C18" s="7"/>
      <c r="D18" s="2"/>
      <c r="E18" s="8"/>
    </row>
    <row r="19" spans="3:5">
      <c r="C19" s="96" t="s">
        <v>10</v>
      </c>
      <c r="D19" s="97"/>
      <c r="E19" s="98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96" t="s">
        <v>17</v>
      </c>
      <c r="D27" s="97"/>
      <c r="E27" s="98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V325"/>
  <sheetViews>
    <sheetView tabSelected="1" zoomScale="130" zoomScaleNormal="130" workbookViewId="0">
      <pane xSplit="4" ySplit="2" topLeftCell="E33" activePane="bottomRight" state="frozen"/>
      <selection pane="topRight" activeCell="E1" sqref="E1"/>
      <selection pane="bottomLeft" activeCell="A3" sqref="A3"/>
      <selection pane="bottomRight" activeCell="B27" sqref="B27"/>
    </sheetView>
  </sheetViews>
  <sheetFormatPr defaultColWidth="8.875" defaultRowHeight="14.25"/>
  <cols>
    <col min="1" max="1" width="23.75" style="69" bestFit="1" customWidth="1"/>
    <col min="2" max="2" width="5.5" style="69" customWidth="1"/>
    <col min="3" max="4" width="10" style="25" bestFit="1" customWidth="1"/>
    <col min="5" max="68" width="2" style="24" customWidth="1"/>
    <col min="69" max="256" width="1.625" style="24" customWidth="1"/>
    <col min="257" max="16384" width="8.875" style="24"/>
  </cols>
  <sheetData>
    <row r="1" spans="1:256">
      <c r="E1" s="104" t="s">
        <v>36</v>
      </c>
      <c r="F1" s="105"/>
      <c r="G1" s="105"/>
      <c r="H1" s="105"/>
      <c r="I1" s="106" t="s">
        <v>147</v>
      </c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  <c r="BD1" s="106"/>
      <c r="BE1" s="106"/>
      <c r="BF1" s="106"/>
      <c r="BG1" s="106"/>
      <c r="BH1" s="106"/>
      <c r="BI1" s="106"/>
      <c r="BJ1" s="106"/>
      <c r="BK1" s="106"/>
      <c r="BL1" s="106"/>
      <c r="BM1" s="106"/>
      <c r="BN1" s="106"/>
      <c r="BO1" s="106"/>
      <c r="BP1" s="107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9" customFormat="1">
      <c r="A2" s="70"/>
      <c r="B2" s="70"/>
      <c r="C2" s="60"/>
      <c r="D2" s="60"/>
      <c r="E2" s="108">
        <v>30</v>
      </c>
      <c r="F2" s="102"/>
      <c r="G2" s="102">
        <v>31</v>
      </c>
      <c r="H2" s="102"/>
      <c r="I2" s="102">
        <v>1</v>
      </c>
      <c r="J2" s="102"/>
      <c r="K2" s="102">
        <v>2</v>
      </c>
      <c r="L2" s="102"/>
      <c r="M2" s="102">
        <v>3</v>
      </c>
      <c r="N2" s="102"/>
      <c r="O2" s="102">
        <v>4</v>
      </c>
      <c r="P2" s="102"/>
      <c r="Q2" s="102">
        <v>5</v>
      </c>
      <c r="R2" s="102"/>
      <c r="S2" s="102">
        <v>6</v>
      </c>
      <c r="T2" s="102"/>
      <c r="U2" s="102">
        <v>7</v>
      </c>
      <c r="V2" s="102"/>
      <c r="W2" s="102">
        <v>8</v>
      </c>
      <c r="X2" s="102"/>
      <c r="Y2" s="102">
        <v>9</v>
      </c>
      <c r="Z2" s="102"/>
      <c r="AA2" s="102">
        <v>10</v>
      </c>
      <c r="AB2" s="102"/>
      <c r="AC2" s="102">
        <v>11</v>
      </c>
      <c r="AD2" s="102"/>
      <c r="AE2" s="102">
        <v>12</v>
      </c>
      <c r="AF2" s="102"/>
      <c r="AG2" s="102">
        <v>13</v>
      </c>
      <c r="AH2" s="102"/>
      <c r="AI2" s="102">
        <v>14</v>
      </c>
      <c r="AJ2" s="102"/>
      <c r="AK2" s="102">
        <v>15</v>
      </c>
      <c r="AL2" s="102"/>
      <c r="AM2" s="102">
        <v>16</v>
      </c>
      <c r="AN2" s="102"/>
      <c r="AO2" s="102">
        <v>17</v>
      </c>
      <c r="AP2" s="102"/>
      <c r="AQ2" s="102">
        <v>18</v>
      </c>
      <c r="AR2" s="102"/>
      <c r="AS2" s="102">
        <v>19</v>
      </c>
      <c r="AT2" s="102"/>
      <c r="AU2" s="102">
        <v>20</v>
      </c>
      <c r="AV2" s="102"/>
      <c r="AW2" s="102">
        <v>21</v>
      </c>
      <c r="AX2" s="102"/>
      <c r="AY2" s="102">
        <v>22</v>
      </c>
      <c r="AZ2" s="102"/>
      <c r="BA2" s="102">
        <v>23</v>
      </c>
      <c r="BB2" s="102"/>
      <c r="BC2" s="102">
        <v>24</v>
      </c>
      <c r="BD2" s="102"/>
      <c r="BE2" s="102">
        <v>25</v>
      </c>
      <c r="BF2" s="102"/>
      <c r="BG2" s="102">
        <v>26</v>
      </c>
      <c r="BH2" s="102"/>
      <c r="BI2" s="102">
        <v>27</v>
      </c>
      <c r="BJ2" s="102"/>
      <c r="BK2" s="102">
        <v>28</v>
      </c>
      <c r="BL2" s="102"/>
      <c r="BM2" s="102">
        <v>29</v>
      </c>
      <c r="BN2" s="102"/>
      <c r="BO2" s="102">
        <v>30</v>
      </c>
      <c r="BP2" s="103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 ht="13.5">
      <c r="A3" s="71" t="s">
        <v>62</v>
      </c>
      <c r="B3" s="86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42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68" t="s">
        <v>88</v>
      </c>
      <c r="B4" s="89">
        <v>2</v>
      </c>
      <c r="C4" s="25">
        <v>41520.5</v>
      </c>
      <c r="D4" s="25">
        <v>41522</v>
      </c>
      <c r="E4" s="39"/>
      <c r="F4" s="26"/>
      <c r="G4" s="26"/>
      <c r="H4" s="26"/>
      <c r="I4" s="26"/>
      <c r="J4" s="26"/>
      <c r="K4" s="26"/>
      <c r="L4" s="26"/>
      <c r="M4" s="26"/>
      <c r="N4" s="94"/>
      <c r="O4" s="94"/>
      <c r="P4" s="94"/>
      <c r="Q4" s="94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42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68" t="s">
        <v>95</v>
      </c>
      <c r="B5" s="89">
        <v>1</v>
      </c>
      <c r="C5" s="25">
        <v>41518.5</v>
      </c>
      <c r="D5" s="25">
        <v>41519</v>
      </c>
      <c r="E5" s="39"/>
      <c r="F5" s="26"/>
      <c r="G5" s="26"/>
      <c r="H5" s="26"/>
      <c r="I5" s="26"/>
      <c r="J5" s="94"/>
      <c r="K5" s="94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42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2" t="s">
        <v>89</v>
      </c>
      <c r="B6" s="89">
        <v>1</v>
      </c>
      <c r="C6" s="25">
        <v>41519.5</v>
      </c>
      <c r="D6" s="25">
        <v>41520</v>
      </c>
      <c r="E6" s="39"/>
      <c r="F6" s="26"/>
      <c r="G6" s="26"/>
      <c r="H6" s="26"/>
      <c r="I6" s="26"/>
      <c r="J6" s="26"/>
      <c r="K6" s="26"/>
      <c r="L6" s="94"/>
      <c r="M6" s="94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42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68" t="s">
        <v>91</v>
      </c>
      <c r="B7" s="89">
        <v>1</v>
      </c>
      <c r="C7" s="25">
        <v>41517.5</v>
      </c>
      <c r="D7" s="25">
        <v>41518</v>
      </c>
      <c r="E7" s="39"/>
      <c r="F7" s="26"/>
      <c r="G7" s="26"/>
      <c r="H7" s="94"/>
      <c r="I7" s="94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42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72" t="s">
        <v>96</v>
      </c>
      <c r="B8" s="89">
        <v>1</v>
      </c>
      <c r="C8" s="25">
        <v>41516.5</v>
      </c>
      <c r="D8" s="25">
        <v>41517</v>
      </c>
      <c r="E8" s="39"/>
      <c r="F8" s="94"/>
      <c r="G8" s="94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42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8" t="s">
        <v>93</v>
      </c>
      <c r="B9" s="89">
        <v>0.5</v>
      </c>
      <c r="C9" s="25">
        <v>41516</v>
      </c>
      <c r="D9" s="25">
        <v>41516</v>
      </c>
      <c r="E9" s="95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42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8" t="s">
        <v>102</v>
      </c>
      <c r="B10" s="89">
        <v>3</v>
      </c>
      <c r="C10" s="25">
        <v>41522.5</v>
      </c>
      <c r="D10" s="25">
        <v>41525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94"/>
      <c r="S10" s="94"/>
      <c r="T10" s="94"/>
      <c r="U10" s="94"/>
      <c r="V10" s="94"/>
      <c r="W10" s="94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42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3" t="s">
        <v>100</v>
      </c>
      <c r="B11" s="88">
        <v>0.5</v>
      </c>
      <c r="C11" s="25">
        <v>41525.5</v>
      </c>
      <c r="D11" s="25">
        <v>41525.5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94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42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73" t="s">
        <v>63</v>
      </c>
      <c r="B12" s="88">
        <v>1</v>
      </c>
      <c r="C12" s="25">
        <v>41526</v>
      </c>
      <c r="D12" s="25">
        <v>41526.5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94"/>
      <c r="Z12" s="94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42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74" t="s">
        <v>64</v>
      </c>
      <c r="B13" s="88">
        <v>1</v>
      </c>
      <c r="C13" s="25">
        <v>41529</v>
      </c>
      <c r="D13" s="25">
        <v>41529.5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94"/>
      <c r="AF13" s="94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42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74" t="s">
        <v>65</v>
      </c>
      <c r="B14" s="88">
        <v>1</v>
      </c>
      <c r="C14" s="25">
        <v>41530</v>
      </c>
      <c r="D14" s="25">
        <v>41530.5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94"/>
      <c r="AH14" s="94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42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74" t="s">
        <v>66</v>
      </c>
      <c r="B15" s="88">
        <v>2</v>
      </c>
      <c r="C15" s="25">
        <v>41531</v>
      </c>
      <c r="D15" s="25">
        <v>41532.5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94"/>
      <c r="AJ15" s="94"/>
      <c r="AK15" s="94"/>
      <c r="AL15" s="94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42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4" t="s">
        <v>97</v>
      </c>
      <c r="B16" s="88">
        <v>0.5</v>
      </c>
      <c r="C16" s="25">
        <v>41527.5</v>
      </c>
      <c r="D16" s="25">
        <v>41527.5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94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42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4" t="s">
        <v>68</v>
      </c>
      <c r="B17" s="88">
        <v>1</v>
      </c>
      <c r="C17" s="25">
        <v>41533</v>
      </c>
      <c r="D17" s="25">
        <v>41533.5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94"/>
      <c r="AN17" s="94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42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74" t="s">
        <v>98</v>
      </c>
      <c r="B18" s="88">
        <v>2</v>
      </c>
      <c r="C18" s="25">
        <v>41534</v>
      </c>
      <c r="D18" s="25">
        <v>41535.5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94"/>
      <c r="AP18" s="94"/>
      <c r="AQ18" s="94"/>
      <c r="AR18" s="94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42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74" t="s">
        <v>67</v>
      </c>
      <c r="B19" s="88">
        <v>2</v>
      </c>
      <c r="C19" s="25">
        <v>41536</v>
      </c>
      <c r="D19" s="25">
        <v>41537.5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94"/>
      <c r="AT19" s="94"/>
      <c r="AU19" s="94"/>
      <c r="AV19" s="94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42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74" t="s">
        <v>69</v>
      </c>
      <c r="B20" s="88">
        <v>1</v>
      </c>
      <c r="C20" s="25">
        <v>41528</v>
      </c>
      <c r="D20" s="25">
        <v>41528.5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94"/>
      <c r="AD20" s="94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42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74" t="s">
        <v>99</v>
      </c>
      <c r="B21" s="88">
        <v>0.5</v>
      </c>
      <c r="C21" s="25">
        <v>41527</v>
      </c>
      <c r="D21" s="25">
        <v>41527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94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42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74" t="s">
        <v>70</v>
      </c>
      <c r="B22" s="88">
        <v>3</v>
      </c>
      <c r="C22" s="25">
        <v>41538</v>
      </c>
      <c r="D22" s="25">
        <v>41540.5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94"/>
      <c r="AX22" s="94"/>
      <c r="AY22" s="94"/>
      <c r="AZ22" s="94"/>
      <c r="BA22" s="94"/>
      <c r="BB22" s="94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42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7" t="s">
        <v>104</v>
      </c>
      <c r="B23" s="89">
        <v>3</v>
      </c>
      <c r="C23" s="25">
        <v>41541</v>
      </c>
      <c r="D23" s="25">
        <v>41543.5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94"/>
      <c r="BD23" s="94"/>
      <c r="BE23" s="94"/>
      <c r="BF23" s="94"/>
      <c r="BG23" s="94"/>
      <c r="BH23" s="94"/>
      <c r="BI23" s="26"/>
      <c r="BJ23" s="26"/>
      <c r="BK23" s="26"/>
      <c r="BL23" s="26"/>
      <c r="BM23" s="26"/>
      <c r="BN23" s="26"/>
      <c r="BO23" s="26"/>
      <c r="BP23" s="42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75"/>
      <c r="B24" s="87"/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42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71" t="s">
        <v>71</v>
      </c>
      <c r="B25" s="86"/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2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113" t="s">
        <v>108</v>
      </c>
      <c r="B26" s="110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42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6" t="s">
        <v>148</v>
      </c>
      <c r="B27" s="89">
        <v>1.5</v>
      </c>
      <c r="C27" s="25">
        <v>41520</v>
      </c>
      <c r="D27" s="25">
        <v>41521</v>
      </c>
      <c r="E27" s="39"/>
      <c r="F27" s="26"/>
      <c r="G27" s="26"/>
      <c r="H27" s="26"/>
      <c r="I27" s="26"/>
      <c r="J27" s="26"/>
      <c r="K27" s="26"/>
      <c r="L27" s="26"/>
      <c r="M27" s="46"/>
      <c r="N27" s="46"/>
      <c r="O27" s="4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42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113" t="s">
        <v>111</v>
      </c>
      <c r="B28" s="110"/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42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76" t="s">
        <v>72</v>
      </c>
      <c r="B29" s="89">
        <v>3</v>
      </c>
      <c r="C29" s="25">
        <v>41521.5</v>
      </c>
      <c r="D29" s="25">
        <v>41524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46"/>
      <c r="Q29" s="46"/>
      <c r="R29" s="46"/>
      <c r="S29" s="46"/>
      <c r="T29" s="46"/>
      <c r="U29" s="4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42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113" t="s">
        <v>113</v>
      </c>
      <c r="B30" s="110"/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42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6" t="s">
        <v>149</v>
      </c>
      <c r="B31" s="89">
        <v>1</v>
      </c>
      <c r="C31" s="25">
        <v>41524.5</v>
      </c>
      <c r="D31" s="25">
        <v>41525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46"/>
      <c r="W31" s="4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42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113" t="s">
        <v>115</v>
      </c>
      <c r="B32" s="110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42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76" t="s">
        <v>150</v>
      </c>
      <c r="B33" s="89">
        <v>2</v>
      </c>
      <c r="C33" s="25">
        <v>41525.5</v>
      </c>
      <c r="D33" s="25">
        <v>41527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46"/>
      <c r="Y33" s="46"/>
      <c r="Z33" s="46"/>
      <c r="AA33" s="4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42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76" t="s">
        <v>151</v>
      </c>
      <c r="B34" s="89">
        <v>4</v>
      </c>
      <c r="C34" s="25">
        <v>41516</v>
      </c>
      <c r="D34" s="25">
        <v>41519.5</v>
      </c>
      <c r="E34" s="91"/>
      <c r="F34" s="46"/>
      <c r="G34" s="46"/>
      <c r="H34" s="46"/>
      <c r="I34" s="46"/>
      <c r="J34" s="46"/>
      <c r="K34" s="46"/>
      <c r="L34" s="4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42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113" t="s">
        <v>106</v>
      </c>
      <c r="B35" s="110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42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73" t="s">
        <v>74</v>
      </c>
      <c r="B36" s="88">
        <v>3</v>
      </c>
      <c r="C36" s="25">
        <v>41527.5</v>
      </c>
      <c r="D36" s="25">
        <v>41530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46"/>
      <c r="AC36" s="46"/>
      <c r="AD36" s="46"/>
      <c r="AE36" s="46"/>
      <c r="AF36" s="46"/>
      <c r="AG36" s="4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42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73" t="s">
        <v>75</v>
      </c>
      <c r="B37" s="88">
        <v>2</v>
      </c>
      <c r="C37" s="25">
        <v>41530.5</v>
      </c>
      <c r="D37" s="25">
        <v>41532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46"/>
      <c r="AI37" s="46"/>
      <c r="AJ37" s="46"/>
      <c r="AK37" s="4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42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73" t="s">
        <v>76</v>
      </c>
      <c r="B38" s="88">
        <v>2</v>
      </c>
      <c r="C38" s="25">
        <v>41534.5</v>
      </c>
      <c r="D38" s="25">
        <v>41536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6"/>
      <c r="AQ38" s="46"/>
      <c r="AR38" s="46"/>
      <c r="AS38" s="4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42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73" t="s">
        <v>77</v>
      </c>
      <c r="B39" s="88">
        <v>1</v>
      </c>
      <c r="C39" s="25">
        <v>41536.5</v>
      </c>
      <c r="D39" s="25">
        <v>41537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46"/>
      <c r="AU39" s="4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42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73" t="s">
        <v>78</v>
      </c>
      <c r="B40" s="88">
        <v>2</v>
      </c>
      <c r="C40" s="25">
        <v>41532.5</v>
      </c>
      <c r="D40" s="25">
        <v>41534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46"/>
      <c r="AM40" s="46"/>
      <c r="AN40" s="46"/>
      <c r="AO40" s="4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42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ht="13.5">
      <c r="A41" s="73" t="s">
        <v>79</v>
      </c>
      <c r="B41" s="88">
        <v>2</v>
      </c>
      <c r="C41" s="25">
        <v>41537.5</v>
      </c>
      <c r="D41" s="25">
        <v>41539</v>
      </c>
      <c r="E41" s="39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46"/>
      <c r="AW41" s="46"/>
      <c r="AX41" s="46"/>
      <c r="AY41" s="4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42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ht="13.5">
      <c r="A42" s="73" t="s">
        <v>73</v>
      </c>
      <c r="B42" s="88">
        <v>1.5</v>
      </c>
      <c r="C42" s="25">
        <v>41539.5</v>
      </c>
      <c r="D42" s="25">
        <v>41540.5</v>
      </c>
      <c r="E42" s="39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46"/>
      <c r="BA42" s="46"/>
      <c r="BB42" s="4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42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ht="13.5">
      <c r="A43" s="111" t="s">
        <v>80</v>
      </c>
      <c r="B43" s="112">
        <v>1</v>
      </c>
      <c r="C43" s="25">
        <v>41541</v>
      </c>
      <c r="D43" s="25">
        <v>41541.5</v>
      </c>
      <c r="E43" s="39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46"/>
      <c r="BD43" s="4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42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3.5">
      <c r="A44" s="111" t="s">
        <v>81</v>
      </c>
      <c r="B44" s="112">
        <v>2</v>
      </c>
      <c r="C44" s="25">
        <v>41542</v>
      </c>
      <c r="D44" s="25">
        <v>41543.5</v>
      </c>
      <c r="E44" s="39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46"/>
      <c r="BF44" s="46"/>
      <c r="BG44" s="46"/>
      <c r="BH44" s="46"/>
      <c r="BI44" s="26"/>
      <c r="BJ44" s="26"/>
      <c r="BK44" s="26"/>
      <c r="BL44" s="26"/>
      <c r="BM44" s="26"/>
      <c r="BN44" s="26"/>
      <c r="BO44" s="26"/>
      <c r="BP44" s="42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3.5">
      <c r="A45" s="111" t="s">
        <v>82</v>
      </c>
      <c r="B45" s="112">
        <v>1</v>
      </c>
      <c r="C45" s="25">
        <v>41544</v>
      </c>
      <c r="D45" s="25">
        <v>41544.5</v>
      </c>
      <c r="E45" s="39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46"/>
      <c r="BJ45" s="46"/>
      <c r="BK45" s="26"/>
      <c r="BL45" s="26"/>
      <c r="BM45" s="26"/>
      <c r="BN45" s="26"/>
      <c r="BO45" s="26"/>
      <c r="BP45" s="42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3.5">
      <c r="A46" s="111" t="s">
        <v>83</v>
      </c>
      <c r="B46" s="112">
        <v>0.5</v>
      </c>
      <c r="C46" s="25">
        <v>41545</v>
      </c>
      <c r="D46" s="25">
        <v>41545</v>
      </c>
      <c r="E46" s="39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46"/>
      <c r="BL46" s="26"/>
      <c r="BM46" s="26"/>
      <c r="BN46" s="26"/>
      <c r="BO46" s="26"/>
      <c r="BP46" s="42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3.5">
      <c r="A47" s="77"/>
      <c r="B47" s="87"/>
      <c r="E47" s="39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42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3.5">
      <c r="A48" s="71" t="s">
        <v>84</v>
      </c>
      <c r="B48" s="86"/>
      <c r="E48" s="39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42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3.5">
      <c r="A49" s="66" t="s">
        <v>117</v>
      </c>
      <c r="B49" s="87">
        <v>2</v>
      </c>
      <c r="C49" s="25">
        <v>41544</v>
      </c>
      <c r="D49" s="25">
        <v>41545.5</v>
      </c>
      <c r="E49" s="39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94"/>
      <c r="BJ49" s="94"/>
      <c r="BK49" s="94"/>
      <c r="BL49" s="45"/>
      <c r="BM49" s="26"/>
      <c r="BN49" s="26"/>
      <c r="BO49" s="26"/>
      <c r="BP49" s="42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3.5">
      <c r="A50" s="66" t="s">
        <v>119</v>
      </c>
      <c r="B50" s="87">
        <v>4</v>
      </c>
      <c r="C50" s="25">
        <v>41546</v>
      </c>
      <c r="D50" s="25">
        <v>41547.5</v>
      </c>
      <c r="E50" s="39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45"/>
      <c r="BN50" s="45"/>
      <c r="BO50" s="45"/>
      <c r="BP50" s="92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78"/>
      <c r="B51" s="87"/>
      <c r="E51" s="4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3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ht="13.5">
      <c r="A52" s="79"/>
      <c r="B52" s="87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3.5">
      <c r="A53" s="80"/>
      <c r="B53" s="79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3.5">
      <c r="A54" s="80"/>
      <c r="B54" s="79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78"/>
      <c r="B55" s="87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3.5">
      <c r="A56" s="79"/>
      <c r="B56" s="87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3.5">
      <c r="A57" s="80"/>
      <c r="B57" s="79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ht="13.5">
      <c r="A58" s="80"/>
      <c r="B58" s="79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ht="13.5">
      <c r="A59" s="80"/>
      <c r="B59" s="79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ht="13.5">
      <c r="A60" s="81"/>
      <c r="B60" s="87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78"/>
      <c r="B61" s="87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78"/>
      <c r="B62" s="87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78"/>
      <c r="B63" s="87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78"/>
      <c r="B64" s="87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78"/>
      <c r="B65" s="87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3.5">
      <c r="A66" s="81"/>
      <c r="B66" s="87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3.5">
      <c r="A67" s="82"/>
      <c r="B67" s="87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78"/>
      <c r="B68" s="8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78"/>
      <c r="B69" s="87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78"/>
      <c r="B70" s="87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78"/>
      <c r="B71" s="87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78"/>
      <c r="B72" s="87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78"/>
      <c r="B73" s="87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83"/>
      <c r="B74" s="87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78"/>
      <c r="B75" s="87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78"/>
      <c r="B76" s="87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A77" s="78"/>
      <c r="B77" s="87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83"/>
      <c r="B78" s="87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84"/>
      <c r="B79" s="87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85"/>
      <c r="B80" s="79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5:256"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5:256"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5:256"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5:256"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5:256"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5:256"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5:256"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5:256"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5:256"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5:256"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5:256"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5:256"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5:256"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5:256"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5:256"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5:256"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5:256"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5:256"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5:256"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5:256"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</sheetData>
  <mergeCells count="34">
    <mergeCell ref="AW2:AX2"/>
    <mergeCell ref="AY2:AZ2"/>
    <mergeCell ref="AI2:AJ2"/>
    <mergeCell ref="AK2:AL2"/>
    <mergeCell ref="AM2:AN2"/>
    <mergeCell ref="AO2:AP2"/>
    <mergeCell ref="AQ2:AR2"/>
    <mergeCell ref="AS2:AT2"/>
    <mergeCell ref="Y2:Z2"/>
    <mergeCell ref="AA2:AB2"/>
    <mergeCell ref="AC2:AD2"/>
    <mergeCell ref="AE2:AF2"/>
    <mergeCell ref="AU2:AV2"/>
    <mergeCell ref="O2:P2"/>
    <mergeCell ref="Q2:R2"/>
    <mergeCell ref="S2:T2"/>
    <mergeCell ref="U2:V2"/>
    <mergeCell ref="W2:X2"/>
    <mergeCell ref="BK2:BL2"/>
    <mergeCell ref="BM2:BN2"/>
    <mergeCell ref="BO2:BP2"/>
    <mergeCell ref="E1:H1"/>
    <mergeCell ref="I1:BP1"/>
    <mergeCell ref="BA2:BB2"/>
    <mergeCell ref="BC2:BD2"/>
    <mergeCell ref="BE2:BF2"/>
    <mergeCell ref="BG2:BH2"/>
    <mergeCell ref="BI2:BJ2"/>
    <mergeCell ref="AG2:AH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50"/>
  <sheetViews>
    <sheetView workbookViewId="0">
      <pane xSplit="3" ySplit="1" topLeftCell="D8" activePane="bottomRight" state="frozen"/>
      <selection pane="topRight" activeCell="D1" sqref="D1"/>
      <selection pane="bottomLeft" activeCell="A2" sqref="A2"/>
      <selection pane="bottomRight" activeCell="A41" sqref="A41"/>
    </sheetView>
  </sheetViews>
  <sheetFormatPr defaultColWidth="8.875" defaultRowHeight="13.5"/>
  <cols>
    <col min="1" max="1" width="9.5" style="62" bestFit="1" customWidth="1"/>
    <col min="2" max="2" width="30.375" style="23" bestFit="1" customWidth="1"/>
    <col min="3" max="3" width="4.5" style="31" bestFit="1" customWidth="1"/>
    <col min="4" max="4" width="8.875" style="62"/>
    <col min="5" max="6" width="8.875" style="58"/>
    <col min="7" max="12" width="8.875" style="30"/>
    <col min="13" max="16384" width="8.875" style="23"/>
  </cols>
  <sheetData>
    <row r="1" spans="1:6">
      <c r="A1" s="62" t="s">
        <v>26</v>
      </c>
      <c r="D1" s="62" t="s">
        <v>27</v>
      </c>
      <c r="E1" s="93" t="s">
        <v>145</v>
      </c>
      <c r="F1" s="90" t="s">
        <v>146</v>
      </c>
    </row>
    <row r="2" spans="1:6">
      <c r="B2" s="23" t="s">
        <v>29</v>
      </c>
    </row>
    <row r="3" spans="1:6">
      <c r="B3" s="23" t="s">
        <v>120</v>
      </c>
    </row>
    <row r="4" spans="1:6">
      <c r="A4" s="62">
        <v>6</v>
      </c>
      <c r="B4" s="23" t="s">
        <v>87</v>
      </c>
      <c r="C4" s="31">
        <v>2</v>
      </c>
      <c r="D4" s="62">
        <f t="shared" ref="D4:D23" si="0">SUM(E4:G4)</f>
        <v>1</v>
      </c>
      <c r="E4" s="58">
        <v>1</v>
      </c>
    </row>
    <row r="5" spans="1:6">
      <c r="A5" s="62">
        <v>4</v>
      </c>
      <c r="B5" s="23" t="s">
        <v>94</v>
      </c>
      <c r="C5" s="31">
        <v>1</v>
      </c>
      <c r="D5" s="62">
        <f t="shared" si="0"/>
        <v>1</v>
      </c>
      <c r="E5" s="58">
        <v>1</v>
      </c>
    </row>
    <row r="6" spans="1:6">
      <c r="A6" s="62">
        <v>5</v>
      </c>
      <c r="B6" s="23" t="s">
        <v>121</v>
      </c>
      <c r="C6" s="31">
        <v>1</v>
      </c>
      <c r="D6" s="62">
        <f t="shared" si="0"/>
        <v>1</v>
      </c>
      <c r="E6" s="58">
        <v>1</v>
      </c>
    </row>
    <row r="7" spans="1:6">
      <c r="A7" s="62">
        <v>3</v>
      </c>
      <c r="B7" s="23" t="s">
        <v>90</v>
      </c>
      <c r="C7" s="31">
        <v>1</v>
      </c>
      <c r="D7" s="62">
        <f t="shared" si="0"/>
        <v>1</v>
      </c>
      <c r="E7" s="58">
        <v>1</v>
      </c>
    </row>
    <row r="8" spans="1:6">
      <c r="A8" s="62">
        <v>2</v>
      </c>
      <c r="B8" s="23" t="s">
        <v>122</v>
      </c>
      <c r="C8" s="31">
        <v>1</v>
      </c>
      <c r="D8" s="62">
        <f t="shared" si="0"/>
        <v>1</v>
      </c>
      <c r="E8" s="58">
        <v>1</v>
      </c>
    </row>
    <row r="9" spans="1:6">
      <c r="A9" s="62">
        <v>1</v>
      </c>
      <c r="B9" s="23" t="s">
        <v>92</v>
      </c>
      <c r="C9" s="31">
        <v>0.5</v>
      </c>
      <c r="D9" s="62">
        <f t="shared" si="0"/>
        <v>1</v>
      </c>
      <c r="E9" s="58">
        <v>1</v>
      </c>
    </row>
    <row r="10" spans="1:6">
      <c r="A10" s="62">
        <v>7</v>
      </c>
      <c r="B10" s="23" t="s">
        <v>101</v>
      </c>
      <c r="C10" s="31">
        <v>3</v>
      </c>
      <c r="D10" s="62">
        <f t="shared" si="0"/>
        <v>1</v>
      </c>
      <c r="E10" s="58">
        <v>1</v>
      </c>
    </row>
    <row r="11" spans="1:6">
      <c r="A11" s="62">
        <v>8</v>
      </c>
      <c r="B11" s="23" t="s">
        <v>123</v>
      </c>
      <c r="C11" s="31">
        <v>0.5</v>
      </c>
      <c r="D11" s="62">
        <f t="shared" si="0"/>
        <v>1</v>
      </c>
      <c r="E11" s="58">
        <v>1</v>
      </c>
    </row>
    <row r="12" spans="1:6">
      <c r="A12" s="62">
        <v>9</v>
      </c>
      <c r="B12" s="23" t="s">
        <v>124</v>
      </c>
      <c r="C12" s="31">
        <v>1</v>
      </c>
      <c r="D12" s="62">
        <f t="shared" si="0"/>
        <v>1</v>
      </c>
      <c r="E12" s="58">
        <v>1</v>
      </c>
    </row>
    <row r="13" spans="1:6">
      <c r="A13" s="62">
        <v>12</v>
      </c>
      <c r="B13" s="23" t="s">
        <v>125</v>
      </c>
      <c r="C13" s="31">
        <v>1</v>
      </c>
      <c r="D13" s="62">
        <f t="shared" si="0"/>
        <v>1</v>
      </c>
      <c r="E13" s="58">
        <v>1</v>
      </c>
    </row>
    <row r="14" spans="1:6">
      <c r="A14" s="62">
        <v>13</v>
      </c>
      <c r="B14" s="23" t="s">
        <v>126</v>
      </c>
      <c r="C14" s="31">
        <v>1</v>
      </c>
      <c r="D14" s="62">
        <f t="shared" si="0"/>
        <v>1</v>
      </c>
      <c r="E14" s="58">
        <v>1</v>
      </c>
    </row>
    <row r="15" spans="1:6">
      <c r="A15" s="62">
        <v>14</v>
      </c>
      <c r="B15" s="23" t="s">
        <v>127</v>
      </c>
      <c r="C15" s="31">
        <v>2</v>
      </c>
      <c r="D15" s="62">
        <f t="shared" si="0"/>
        <v>1</v>
      </c>
      <c r="E15" s="58">
        <v>1</v>
      </c>
    </row>
    <row r="16" spans="1:6">
      <c r="A16" s="62">
        <v>11</v>
      </c>
      <c r="B16" s="23" t="s">
        <v>128</v>
      </c>
      <c r="C16" s="31">
        <v>0.5</v>
      </c>
      <c r="D16" s="62">
        <f t="shared" si="0"/>
        <v>1</v>
      </c>
      <c r="E16" s="58">
        <v>1</v>
      </c>
    </row>
    <row r="17" spans="1:6">
      <c r="A17" s="62">
        <v>16</v>
      </c>
      <c r="B17" s="23" t="s">
        <v>129</v>
      </c>
      <c r="C17" s="31">
        <v>1</v>
      </c>
      <c r="D17" s="62">
        <f t="shared" si="0"/>
        <v>1</v>
      </c>
      <c r="E17" s="58">
        <v>1</v>
      </c>
    </row>
    <row r="18" spans="1:6">
      <c r="A18" s="62">
        <v>17</v>
      </c>
      <c r="B18" s="23" t="s">
        <v>130</v>
      </c>
      <c r="C18" s="31">
        <v>2</v>
      </c>
      <c r="D18" s="62">
        <f t="shared" si="0"/>
        <v>1</v>
      </c>
      <c r="E18" s="58">
        <v>1</v>
      </c>
    </row>
    <row r="19" spans="1:6">
      <c r="A19" s="62">
        <v>18</v>
      </c>
      <c r="B19" s="23" t="s">
        <v>131</v>
      </c>
      <c r="C19" s="31">
        <v>2</v>
      </c>
      <c r="D19" s="62">
        <f t="shared" si="0"/>
        <v>1</v>
      </c>
      <c r="E19" s="58">
        <v>1</v>
      </c>
    </row>
    <row r="20" spans="1:6">
      <c r="A20" s="62">
        <v>11</v>
      </c>
      <c r="B20" s="23" t="s">
        <v>132</v>
      </c>
      <c r="C20" s="31">
        <v>1</v>
      </c>
      <c r="D20" s="62">
        <f t="shared" si="0"/>
        <v>1</v>
      </c>
      <c r="E20" s="58">
        <v>1</v>
      </c>
    </row>
    <row r="21" spans="1:6">
      <c r="A21" s="62">
        <v>10</v>
      </c>
      <c r="B21" s="23" t="s">
        <v>133</v>
      </c>
      <c r="C21" s="31">
        <v>0.5</v>
      </c>
      <c r="D21" s="62">
        <f t="shared" si="0"/>
        <v>1</v>
      </c>
      <c r="E21" s="58">
        <v>1</v>
      </c>
    </row>
    <row r="22" spans="1:6">
      <c r="A22" s="62">
        <v>19</v>
      </c>
      <c r="B22" s="23" t="s">
        <v>134</v>
      </c>
      <c r="C22" s="31">
        <v>3</v>
      </c>
      <c r="D22" s="62">
        <f t="shared" si="0"/>
        <v>1</v>
      </c>
      <c r="E22" s="58">
        <v>1</v>
      </c>
    </row>
    <row r="23" spans="1:6">
      <c r="A23" s="62">
        <v>20</v>
      </c>
      <c r="B23" s="23" t="s">
        <v>103</v>
      </c>
      <c r="C23" s="31">
        <v>3</v>
      </c>
      <c r="D23" s="62">
        <f t="shared" si="0"/>
        <v>1</v>
      </c>
      <c r="E23" s="58">
        <v>1</v>
      </c>
    </row>
    <row r="25" spans="1:6">
      <c r="B25" s="23" t="s">
        <v>135</v>
      </c>
    </row>
    <row r="26" spans="1:6">
      <c r="B26" s="23" t="s">
        <v>107</v>
      </c>
    </row>
    <row r="27" spans="1:6">
      <c r="A27" s="62">
        <v>21</v>
      </c>
      <c r="B27" s="23" t="s">
        <v>136</v>
      </c>
      <c r="C27" s="31">
        <v>1.5</v>
      </c>
      <c r="D27" s="62">
        <f>SUM(E27:G27)</f>
        <v>1</v>
      </c>
      <c r="F27" s="58">
        <v>1</v>
      </c>
    </row>
    <row r="28" spans="1:6">
      <c r="B28" s="23" t="s">
        <v>110</v>
      </c>
    </row>
    <row r="29" spans="1:6">
      <c r="A29" s="62">
        <v>22</v>
      </c>
      <c r="B29" s="23" t="s">
        <v>109</v>
      </c>
      <c r="C29" s="31">
        <v>3</v>
      </c>
      <c r="D29" s="62">
        <f>SUM(E29:G29)</f>
        <v>1</v>
      </c>
      <c r="F29" s="58">
        <v>1</v>
      </c>
    </row>
    <row r="30" spans="1:6">
      <c r="B30" s="23" t="s">
        <v>112</v>
      </c>
    </row>
    <row r="31" spans="1:6">
      <c r="A31" s="62">
        <v>23</v>
      </c>
      <c r="B31" s="23" t="s">
        <v>137</v>
      </c>
      <c r="C31" s="31">
        <v>1</v>
      </c>
      <c r="D31" s="62">
        <f>SUM(E31:G31)</f>
        <v>1</v>
      </c>
      <c r="F31" s="58">
        <v>1</v>
      </c>
    </row>
    <row r="32" spans="1:6">
      <c r="B32" s="23" t="s">
        <v>114</v>
      </c>
    </row>
    <row r="33" spans="1:6">
      <c r="A33" s="62">
        <v>24</v>
      </c>
      <c r="B33" s="23" t="s">
        <v>86</v>
      </c>
      <c r="C33" s="31">
        <v>2</v>
      </c>
      <c r="D33" s="62">
        <f>SUM(E33:G33)</f>
        <v>1</v>
      </c>
      <c r="F33" s="58">
        <v>1</v>
      </c>
    </row>
    <row r="34" spans="1:6">
      <c r="A34" s="62">
        <v>1</v>
      </c>
      <c r="B34" s="23" t="s">
        <v>85</v>
      </c>
      <c r="C34" s="31">
        <v>4</v>
      </c>
      <c r="D34" s="62">
        <f>SUM(E34:G34)</f>
        <v>1</v>
      </c>
      <c r="F34" s="58">
        <v>1</v>
      </c>
    </row>
    <row r="35" spans="1:6">
      <c r="B35" s="23" t="s">
        <v>105</v>
      </c>
    </row>
    <row r="36" spans="1:6">
      <c r="A36" s="62">
        <v>26</v>
      </c>
      <c r="B36" s="23" t="s">
        <v>138</v>
      </c>
      <c r="C36" s="31">
        <v>3</v>
      </c>
      <c r="D36" s="62">
        <f t="shared" ref="D36:D46" si="1">SUM(E36:G36)</f>
        <v>1</v>
      </c>
      <c r="F36" s="58">
        <v>1</v>
      </c>
    </row>
    <row r="37" spans="1:6">
      <c r="A37" s="62">
        <v>27</v>
      </c>
      <c r="B37" s="23" t="s">
        <v>139</v>
      </c>
      <c r="C37" s="31">
        <v>2</v>
      </c>
      <c r="D37" s="62">
        <f t="shared" si="1"/>
        <v>1</v>
      </c>
      <c r="F37" s="58">
        <v>1</v>
      </c>
    </row>
    <row r="38" spans="1:6">
      <c r="A38" s="62">
        <v>28</v>
      </c>
      <c r="B38" s="23" t="s">
        <v>140</v>
      </c>
      <c r="C38" s="31">
        <v>2</v>
      </c>
      <c r="D38" s="62">
        <f t="shared" si="1"/>
        <v>1</v>
      </c>
      <c r="F38" s="58">
        <v>1</v>
      </c>
    </row>
    <row r="39" spans="1:6">
      <c r="A39" s="62">
        <v>29</v>
      </c>
      <c r="B39" s="23" t="s">
        <v>58</v>
      </c>
      <c r="C39" s="31">
        <v>1</v>
      </c>
      <c r="D39" s="62">
        <f t="shared" si="1"/>
        <v>1</v>
      </c>
      <c r="F39" s="58">
        <v>1</v>
      </c>
    </row>
    <row r="40" spans="1:6">
      <c r="A40" s="62">
        <v>27</v>
      </c>
      <c r="B40" s="23" t="s">
        <v>141</v>
      </c>
      <c r="C40" s="31">
        <v>2</v>
      </c>
      <c r="D40" s="62">
        <f t="shared" si="1"/>
        <v>1</v>
      </c>
      <c r="F40" s="58">
        <v>1</v>
      </c>
    </row>
    <row r="41" spans="1:6">
      <c r="A41" s="62">
        <v>31</v>
      </c>
      <c r="B41" s="23" t="s">
        <v>57</v>
      </c>
      <c r="C41" s="31">
        <v>2</v>
      </c>
      <c r="D41" s="62">
        <f t="shared" si="1"/>
        <v>1</v>
      </c>
      <c r="F41" s="58">
        <v>1</v>
      </c>
    </row>
    <row r="42" spans="1:6">
      <c r="A42" s="62">
        <v>32</v>
      </c>
      <c r="B42" s="23" t="s">
        <v>142</v>
      </c>
      <c r="C42" s="31">
        <v>1.5</v>
      </c>
      <c r="D42" s="62">
        <f t="shared" si="1"/>
        <v>1</v>
      </c>
      <c r="F42" s="58">
        <v>1</v>
      </c>
    </row>
    <row r="43" spans="1:6">
      <c r="A43" s="62">
        <v>33</v>
      </c>
      <c r="B43" s="23" t="s">
        <v>143</v>
      </c>
      <c r="C43" s="31">
        <v>1</v>
      </c>
      <c r="D43" s="62">
        <f t="shared" si="1"/>
        <v>1</v>
      </c>
      <c r="F43" s="58">
        <v>1</v>
      </c>
    </row>
    <row r="44" spans="1:6">
      <c r="A44" s="62">
        <v>34</v>
      </c>
      <c r="B44" s="23" t="s">
        <v>59</v>
      </c>
      <c r="C44" s="31">
        <v>2</v>
      </c>
      <c r="D44" s="62">
        <f t="shared" si="1"/>
        <v>1</v>
      </c>
      <c r="F44" s="58">
        <v>1</v>
      </c>
    </row>
    <row r="45" spans="1:6">
      <c r="A45" s="62">
        <v>35</v>
      </c>
      <c r="B45" s="23" t="s">
        <v>61</v>
      </c>
      <c r="C45" s="31">
        <v>1</v>
      </c>
      <c r="D45" s="62">
        <f t="shared" si="1"/>
        <v>1</v>
      </c>
      <c r="F45" s="58">
        <v>1</v>
      </c>
    </row>
    <row r="46" spans="1:6">
      <c r="A46" s="62">
        <v>36</v>
      </c>
      <c r="B46" s="23" t="s">
        <v>60</v>
      </c>
      <c r="C46" s="31">
        <v>0.5</v>
      </c>
      <c r="D46" s="62">
        <f t="shared" si="1"/>
        <v>1</v>
      </c>
      <c r="F46" s="58">
        <v>1</v>
      </c>
    </row>
    <row r="48" spans="1:6">
      <c r="B48" s="23" t="s">
        <v>144</v>
      </c>
    </row>
    <row r="49" spans="1:6">
      <c r="A49" s="62">
        <v>37</v>
      </c>
      <c r="B49" s="23" t="s">
        <v>116</v>
      </c>
      <c r="C49" s="31">
        <v>2</v>
      </c>
      <c r="D49" s="62">
        <f>SUM(E49:G49)</f>
        <v>2</v>
      </c>
      <c r="E49" s="58">
        <v>1</v>
      </c>
      <c r="F49" s="58">
        <v>1</v>
      </c>
    </row>
    <row r="50" spans="1:6">
      <c r="A50" s="62">
        <v>38</v>
      </c>
      <c r="B50" s="23" t="s">
        <v>118</v>
      </c>
      <c r="C50" s="31">
        <v>4</v>
      </c>
      <c r="D50" s="62">
        <f>SUM(E50:G50)</f>
        <v>2</v>
      </c>
      <c r="E50" s="58">
        <v>1</v>
      </c>
      <c r="F50" s="58">
        <v>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P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BP4"/>
    </sheetView>
  </sheetViews>
  <sheetFormatPr defaultColWidth="3.75" defaultRowHeight="13.5"/>
  <cols>
    <col min="1" max="1" width="8.5" style="32" bestFit="1" customWidth="1"/>
    <col min="2" max="4" width="3.75" style="1"/>
    <col min="5" max="68" width="6.5" style="1" bestFit="1" customWidth="1"/>
    <col min="69" max="16384" width="3.75" style="1"/>
  </cols>
  <sheetData>
    <row r="1" spans="1:68" ht="14.25">
      <c r="A1" s="69"/>
      <c r="B1" s="69"/>
      <c r="C1" s="25"/>
      <c r="D1" s="25"/>
      <c r="E1" s="104" t="s">
        <v>36</v>
      </c>
      <c r="F1" s="105"/>
      <c r="G1" s="105"/>
      <c r="H1" s="105"/>
      <c r="I1" s="106" t="s">
        <v>147</v>
      </c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  <c r="BD1" s="106"/>
      <c r="BE1" s="106"/>
      <c r="BF1" s="106"/>
      <c r="BG1" s="106"/>
      <c r="BH1" s="106"/>
      <c r="BI1" s="106"/>
      <c r="BJ1" s="106"/>
      <c r="BK1" s="106"/>
      <c r="BL1" s="106"/>
      <c r="BM1" s="106"/>
      <c r="BN1" s="106"/>
      <c r="BO1" s="106"/>
      <c r="BP1" s="107"/>
    </row>
    <row r="2" spans="1:68" ht="14.25">
      <c r="A2" s="70"/>
      <c r="B2" s="70"/>
      <c r="C2" s="60"/>
      <c r="D2" s="60"/>
      <c r="E2" s="108">
        <v>30</v>
      </c>
      <c r="F2" s="102"/>
      <c r="G2" s="102">
        <v>31</v>
      </c>
      <c r="H2" s="102"/>
      <c r="I2" s="102">
        <v>1</v>
      </c>
      <c r="J2" s="102"/>
      <c r="K2" s="102">
        <v>2</v>
      </c>
      <c r="L2" s="102"/>
      <c r="M2" s="102">
        <v>3</v>
      </c>
      <c r="N2" s="102"/>
      <c r="O2" s="102">
        <v>4</v>
      </c>
      <c r="P2" s="102"/>
      <c r="Q2" s="102">
        <v>5</v>
      </c>
      <c r="R2" s="102"/>
      <c r="S2" s="102">
        <v>6</v>
      </c>
      <c r="T2" s="102"/>
      <c r="U2" s="102">
        <v>7</v>
      </c>
      <c r="V2" s="102"/>
      <c r="W2" s="102">
        <v>8</v>
      </c>
      <c r="X2" s="102"/>
      <c r="Y2" s="102">
        <v>9</v>
      </c>
      <c r="Z2" s="102"/>
      <c r="AA2" s="102">
        <v>10</v>
      </c>
      <c r="AB2" s="102"/>
      <c r="AC2" s="102">
        <v>11</v>
      </c>
      <c r="AD2" s="102"/>
      <c r="AE2" s="102">
        <v>12</v>
      </c>
      <c r="AF2" s="102"/>
      <c r="AG2" s="102">
        <v>13</v>
      </c>
      <c r="AH2" s="102"/>
      <c r="AI2" s="102">
        <v>14</v>
      </c>
      <c r="AJ2" s="102"/>
      <c r="AK2" s="102">
        <v>15</v>
      </c>
      <c r="AL2" s="102"/>
      <c r="AM2" s="102">
        <v>16</v>
      </c>
      <c r="AN2" s="102"/>
      <c r="AO2" s="102">
        <v>17</v>
      </c>
      <c r="AP2" s="102"/>
      <c r="AQ2" s="102">
        <v>18</v>
      </c>
      <c r="AR2" s="102"/>
      <c r="AS2" s="102">
        <v>19</v>
      </c>
      <c r="AT2" s="102"/>
      <c r="AU2" s="102">
        <v>20</v>
      </c>
      <c r="AV2" s="102"/>
      <c r="AW2" s="102">
        <v>21</v>
      </c>
      <c r="AX2" s="102"/>
      <c r="AY2" s="102">
        <v>22</v>
      </c>
      <c r="AZ2" s="102"/>
      <c r="BA2" s="102">
        <v>23</v>
      </c>
      <c r="BB2" s="102"/>
      <c r="BC2" s="102">
        <v>24</v>
      </c>
      <c r="BD2" s="102"/>
      <c r="BE2" s="102">
        <v>25</v>
      </c>
      <c r="BF2" s="102"/>
      <c r="BG2" s="102">
        <v>26</v>
      </c>
      <c r="BH2" s="102"/>
      <c r="BI2" s="102">
        <v>27</v>
      </c>
      <c r="BJ2" s="102"/>
      <c r="BK2" s="102">
        <v>28</v>
      </c>
      <c r="BL2" s="102"/>
      <c r="BM2" s="102">
        <v>29</v>
      </c>
      <c r="BN2" s="102"/>
      <c r="BO2" s="102">
        <v>30</v>
      </c>
      <c r="BP2" s="103"/>
    </row>
    <row r="3" spans="1:68">
      <c r="A3" s="32" t="s">
        <v>35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3">
        <v>1</v>
      </c>
      <c r="BA3" s="33">
        <v>1</v>
      </c>
      <c r="BB3" s="33">
        <v>1</v>
      </c>
      <c r="BC3" s="33">
        <v>1</v>
      </c>
      <c r="BD3" s="33">
        <v>1</v>
      </c>
      <c r="BE3" s="33">
        <v>1</v>
      </c>
      <c r="BF3" s="33">
        <v>1</v>
      </c>
      <c r="BG3" s="33">
        <v>1</v>
      </c>
      <c r="BH3" s="33">
        <v>1</v>
      </c>
      <c r="BI3" s="33">
        <v>1</v>
      </c>
      <c r="BJ3" s="33">
        <v>1</v>
      </c>
      <c r="BK3" s="33">
        <v>1</v>
      </c>
      <c r="BL3" s="33">
        <v>1</v>
      </c>
      <c r="BM3" s="33">
        <v>1</v>
      </c>
      <c r="BN3" s="33">
        <v>1</v>
      </c>
      <c r="BO3" s="33">
        <v>1</v>
      </c>
      <c r="BP3" s="37">
        <v>1</v>
      </c>
    </row>
    <row r="4" spans="1:68">
      <c r="A4" s="32" t="s">
        <v>28</v>
      </c>
      <c r="E4" s="35">
        <v>1</v>
      </c>
      <c r="F4" s="36">
        <v>1</v>
      </c>
      <c r="G4" s="36">
        <v>1</v>
      </c>
      <c r="H4" s="36">
        <v>1</v>
      </c>
      <c r="I4" s="36">
        <v>1</v>
      </c>
      <c r="J4" s="36">
        <v>1</v>
      </c>
      <c r="K4" s="36">
        <v>1</v>
      </c>
      <c r="L4" s="36">
        <v>1</v>
      </c>
      <c r="M4" s="36">
        <v>1</v>
      </c>
      <c r="N4" s="36">
        <v>1</v>
      </c>
      <c r="O4" s="36">
        <v>1</v>
      </c>
      <c r="P4" s="36">
        <v>1</v>
      </c>
      <c r="Q4" s="36">
        <v>1</v>
      </c>
      <c r="R4" s="36">
        <v>1</v>
      </c>
      <c r="S4" s="36">
        <v>1</v>
      </c>
      <c r="T4" s="36">
        <v>1</v>
      </c>
      <c r="U4" s="36">
        <v>1</v>
      </c>
      <c r="V4" s="36">
        <v>1</v>
      </c>
      <c r="W4" s="36">
        <v>1</v>
      </c>
      <c r="X4" s="36">
        <v>1</v>
      </c>
      <c r="Y4" s="36">
        <v>1</v>
      </c>
      <c r="Z4" s="36">
        <v>1</v>
      </c>
      <c r="AA4" s="36">
        <v>1</v>
      </c>
      <c r="AB4" s="36">
        <v>1</v>
      </c>
      <c r="AC4" s="36">
        <v>1</v>
      </c>
      <c r="AD4" s="36">
        <v>1</v>
      </c>
      <c r="AE4" s="36">
        <v>1</v>
      </c>
      <c r="AF4" s="36">
        <v>1</v>
      </c>
      <c r="AG4" s="36">
        <v>1</v>
      </c>
      <c r="AH4" s="36">
        <v>1</v>
      </c>
      <c r="AI4" s="36">
        <v>1</v>
      </c>
      <c r="AJ4" s="36">
        <v>1</v>
      </c>
      <c r="AK4" s="36">
        <v>1</v>
      </c>
      <c r="AL4" s="36">
        <v>1</v>
      </c>
      <c r="AM4" s="36">
        <v>1</v>
      </c>
      <c r="AN4" s="36">
        <v>1</v>
      </c>
      <c r="AO4" s="36">
        <v>1</v>
      </c>
      <c r="AP4" s="36">
        <v>1</v>
      </c>
      <c r="AQ4" s="36">
        <v>1</v>
      </c>
      <c r="AR4" s="36">
        <v>1</v>
      </c>
      <c r="AS4" s="36">
        <v>1</v>
      </c>
      <c r="AT4" s="36">
        <v>1</v>
      </c>
      <c r="AU4" s="36">
        <v>1</v>
      </c>
      <c r="AV4" s="36">
        <v>1</v>
      </c>
      <c r="AW4" s="36">
        <v>1</v>
      </c>
      <c r="AX4" s="36">
        <v>1</v>
      </c>
      <c r="AY4" s="36">
        <v>1</v>
      </c>
      <c r="AZ4" s="36">
        <v>1</v>
      </c>
      <c r="BA4" s="36">
        <v>1</v>
      </c>
      <c r="BB4" s="36">
        <v>1</v>
      </c>
      <c r="BC4" s="36">
        <v>1</v>
      </c>
      <c r="BD4" s="36">
        <v>1</v>
      </c>
      <c r="BE4" s="36">
        <v>1</v>
      </c>
      <c r="BF4" s="36">
        <v>1</v>
      </c>
      <c r="BG4" s="36">
        <v>1</v>
      </c>
      <c r="BH4" s="36">
        <v>1</v>
      </c>
      <c r="BI4" s="36">
        <v>1</v>
      </c>
      <c r="BJ4" s="36">
        <v>1</v>
      </c>
      <c r="BK4" s="36">
        <v>1</v>
      </c>
      <c r="BL4" s="36">
        <v>1</v>
      </c>
      <c r="BM4" s="36">
        <v>1</v>
      </c>
      <c r="BN4" s="36">
        <v>1</v>
      </c>
      <c r="BO4" s="36">
        <v>1</v>
      </c>
      <c r="BP4" s="38">
        <v>1</v>
      </c>
    </row>
  </sheetData>
  <mergeCells count="34">
    <mergeCell ref="E2:F2"/>
    <mergeCell ref="G2:H2"/>
    <mergeCell ref="I2:J2"/>
    <mergeCell ref="K2:L2"/>
    <mergeCell ref="M2:N2"/>
    <mergeCell ref="AQ2:AR2"/>
    <mergeCell ref="AA2:AB2"/>
    <mergeCell ref="AC2:AD2"/>
    <mergeCell ref="AE2:AF2"/>
    <mergeCell ref="AG2:AH2"/>
    <mergeCell ref="E1:H1"/>
    <mergeCell ref="I1:BP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BK2:BL2"/>
    <mergeCell ref="BM2:BN2"/>
    <mergeCell ref="BO2:BP2"/>
    <mergeCell ref="BA2:BB2"/>
    <mergeCell ref="BC2:BD2"/>
    <mergeCell ref="BE2:BF2"/>
    <mergeCell ref="BG2:BH2"/>
    <mergeCell ref="BI2:BJ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5" sqref="A35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04" t="s">
        <v>36</v>
      </c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9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9" customFormat="1">
      <c r="C2" s="60"/>
      <c r="D2" s="60"/>
      <c r="E2" s="108">
        <v>6</v>
      </c>
      <c r="F2" s="102"/>
      <c r="G2" s="102">
        <v>7</v>
      </c>
      <c r="H2" s="102"/>
      <c r="I2" s="102">
        <v>8</v>
      </c>
      <c r="J2" s="102"/>
      <c r="K2" s="102">
        <v>9</v>
      </c>
      <c r="L2" s="102"/>
      <c r="M2" s="102">
        <v>10</v>
      </c>
      <c r="N2" s="102"/>
      <c r="O2" s="102">
        <v>11</v>
      </c>
      <c r="P2" s="102"/>
      <c r="Q2" s="102">
        <v>12</v>
      </c>
      <c r="R2" s="102"/>
      <c r="S2" s="102">
        <v>13</v>
      </c>
      <c r="T2" s="102"/>
      <c r="U2" s="102">
        <v>14</v>
      </c>
      <c r="V2" s="102"/>
      <c r="W2" s="102">
        <v>15</v>
      </c>
      <c r="X2" s="102"/>
      <c r="Y2" s="102">
        <v>16</v>
      </c>
      <c r="Z2" s="102"/>
      <c r="AA2" s="102">
        <v>17</v>
      </c>
      <c r="AB2" s="102"/>
      <c r="AC2" s="102">
        <v>18</v>
      </c>
      <c r="AD2" s="102"/>
      <c r="AE2" s="102">
        <v>19</v>
      </c>
      <c r="AF2" s="102"/>
      <c r="AG2" s="102">
        <v>20</v>
      </c>
      <c r="AH2" s="102"/>
      <c r="AI2" s="102">
        <v>21</v>
      </c>
      <c r="AJ2" s="102"/>
      <c r="AK2" s="102">
        <v>22</v>
      </c>
      <c r="AL2" s="102"/>
      <c r="AM2" s="102">
        <v>23</v>
      </c>
      <c r="AN2" s="102"/>
      <c r="AO2" s="102">
        <v>24</v>
      </c>
      <c r="AP2" s="102"/>
      <c r="AQ2" s="102">
        <v>25</v>
      </c>
      <c r="AR2" s="102"/>
      <c r="AS2" s="102">
        <v>26</v>
      </c>
      <c r="AT2" s="102"/>
      <c r="AU2" s="102">
        <v>27</v>
      </c>
      <c r="AV2" s="102"/>
      <c r="AW2" s="102">
        <v>28</v>
      </c>
      <c r="AX2" s="102"/>
      <c r="AY2" s="102">
        <v>29</v>
      </c>
      <c r="AZ2" s="103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48" t="s">
        <v>31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30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38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39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40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41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42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43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44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52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53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3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32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45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46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47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48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49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50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51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54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55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64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56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65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34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33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37</v>
      </c>
      <c r="B29" s="14">
        <v>4</v>
      </c>
      <c r="C29" s="25">
        <v>41492</v>
      </c>
      <c r="D29" s="25">
        <v>41495.5</v>
      </c>
      <c r="E29" s="57"/>
      <c r="F29" s="56"/>
      <c r="G29" s="56"/>
      <c r="H29" s="56"/>
      <c r="I29" s="56"/>
      <c r="J29" s="56"/>
      <c r="K29" s="56"/>
      <c r="L29" s="5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37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AA2:AB2"/>
    <mergeCell ref="AC2:AD2"/>
    <mergeCell ref="AE2:AF2"/>
    <mergeCell ref="AG2:AH2"/>
    <mergeCell ref="E2:F2"/>
    <mergeCell ref="G2:H2"/>
    <mergeCell ref="I2:J2"/>
    <mergeCell ref="K2:L2"/>
    <mergeCell ref="M2:N2"/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Help</vt:lpstr>
      <vt:lpstr>Schedule</vt:lpstr>
      <vt:lpstr>PersonList</vt:lpstr>
      <vt:lpstr>Holiday</vt:lpstr>
      <vt:lpstr>PersonOccupation</vt:lpstr>
      <vt:lpstr>2013-08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</cp:lastModifiedBy>
  <dcterms:created xsi:type="dcterms:W3CDTF">2012-06-28T01:40:15Z</dcterms:created>
  <dcterms:modified xsi:type="dcterms:W3CDTF">2013-08-29T03:42:33Z</dcterms:modified>
</cp:coreProperties>
</file>